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kripsi\Skripsi 2025\Perhitungan penelitian\"/>
    </mc:Choice>
  </mc:AlternateContent>
  <xr:revisionPtr revIDLastSave="0" documentId="13_ncr:1_{61C0F3B0-50F5-4032-BC73-C257931DFF03}" xr6:coauthVersionLast="47" xr6:coauthVersionMax="47" xr10:uidLastSave="{00000000-0000-0000-0000-000000000000}"/>
  <bookViews>
    <workbookView xWindow="-110" yWindow="-110" windowWidth="19420" windowHeight="11500" tabRatio="596" activeTab="2" xr2:uid="{94B4D1B4-5AF9-46D4-99FF-8CF7FD2687F7}"/>
  </bookViews>
  <sheets>
    <sheet name="Tabel Perhitungan" sheetId="1" r:id="rId1"/>
    <sheet name="Tabel Perhitungan (2)" sheetId="10" r:id="rId2"/>
    <sheet name="Tabulasi STATA 12" sheetId="11" r:id="rId3"/>
    <sheet name="Greenhouse Gas" sheetId="3" r:id="rId4"/>
    <sheet name="Hasil Akhir" sheetId="9" r:id="rId5"/>
    <sheet name="Hasil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03" i="11" l="1"/>
  <c r="F201" i="11"/>
  <c r="C201" i="11"/>
  <c r="H203" i="10"/>
  <c r="H201" i="10"/>
  <c r="T199" i="10"/>
  <c r="R199" i="10"/>
  <c r="O199" i="10"/>
  <c r="F199" i="10"/>
  <c r="H199" i="10" s="1"/>
  <c r="T198" i="10"/>
  <c r="R198" i="10"/>
  <c r="O198" i="10"/>
  <c r="F198" i="10"/>
  <c r="H198" i="10" s="1"/>
  <c r="T197" i="10"/>
  <c r="R197" i="10"/>
  <c r="O197" i="10"/>
  <c r="F197" i="10"/>
  <c r="H197" i="10" s="1"/>
  <c r="T196" i="10"/>
  <c r="R196" i="10"/>
  <c r="O196" i="10"/>
  <c r="F196" i="10"/>
  <c r="H196" i="10" s="1"/>
  <c r="T195" i="10"/>
  <c r="R195" i="10"/>
  <c r="O195" i="10"/>
  <c r="F195" i="10"/>
  <c r="H195" i="10" s="1"/>
  <c r="T194" i="10"/>
  <c r="R194" i="10"/>
  <c r="O194" i="10"/>
  <c r="F194" i="10"/>
  <c r="H194" i="10" s="1"/>
  <c r="T193" i="10"/>
  <c r="R193" i="10"/>
  <c r="O193" i="10"/>
  <c r="F193" i="10"/>
  <c r="H193" i="10" s="1"/>
  <c r="T192" i="10"/>
  <c r="R192" i="10"/>
  <c r="O192" i="10"/>
  <c r="F192" i="10"/>
  <c r="H192" i="10" s="1"/>
  <c r="T191" i="10"/>
  <c r="R191" i="10"/>
  <c r="O191" i="10"/>
  <c r="F191" i="10"/>
  <c r="H191" i="10" s="1"/>
  <c r="T190" i="10"/>
  <c r="R190" i="10"/>
  <c r="O190" i="10"/>
  <c r="F190" i="10"/>
  <c r="H190" i="10" s="1"/>
  <c r="T189" i="10"/>
  <c r="R189" i="10"/>
  <c r="O189" i="10"/>
  <c r="F189" i="10"/>
  <c r="H189" i="10" s="1"/>
  <c r="T188" i="10"/>
  <c r="R188" i="10"/>
  <c r="O188" i="10"/>
  <c r="F188" i="10"/>
  <c r="H188" i="10" s="1"/>
  <c r="T187" i="10"/>
  <c r="R187" i="10"/>
  <c r="O187" i="10"/>
  <c r="F187" i="10"/>
  <c r="H187" i="10" s="1"/>
  <c r="T186" i="10"/>
  <c r="R186" i="10"/>
  <c r="O186" i="10"/>
  <c r="F186" i="10"/>
  <c r="H186" i="10" s="1"/>
  <c r="T185" i="10"/>
  <c r="R185" i="10"/>
  <c r="O185" i="10"/>
  <c r="F185" i="10"/>
  <c r="H185" i="10" s="1"/>
  <c r="T184" i="10"/>
  <c r="R184" i="10"/>
  <c r="O184" i="10"/>
  <c r="F184" i="10"/>
  <c r="H184" i="10" s="1"/>
  <c r="T183" i="10"/>
  <c r="R183" i="10"/>
  <c r="O183" i="10"/>
  <c r="F183" i="10"/>
  <c r="H183" i="10" s="1"/>
  <c r="T182" i="10"/>
  <c r="R182" i="10"/>
  <c r="O182" i="10"/>
  <c r="F182" i="10"/>
  <c r="H182" i="10" s="1"/>
  <c r="T181" i="10"/>
  <c r="R181" i="10"/>
  <c r="O181" i="10"/>
  <c r="F181" i="10"/>
  <c r="H181" i="10" s="1"/>
  <c r="T180" i="10"/>
  <c r="R180" i="10"/>
  <c r="O180" i="10"/>
  <c r="F180" i="10"/>
  <c r="H180" i="10" s="1"/>
  <c r="T179" i="10"/>
  <c r="R179" i="10"/>
  <c r="O179" i="10"/>
  <c r="F179" i="10"/>
  <c r="H179" i="10" s="1"/>
  <c r="T178" i="10"/>
  <c r="R178" i="10"/>
  <c r="O178" i="10"/>
  <c r="F178" i="10"/>
  <c r="H178" i="10" s="1"/>
  <c r="T177" i="10"/>
  <c r="R177" i="10"/>
  <c r="O177" i="10"/>
  <c r="F177" i="10"/>
  <c r="H177" i="10" s="1"/>
  <c r="T176" i="10"/>
  <c r="R176" i="10"/>
  <c r="O176" i="10"/>
  <c r="F176" i="10"/>
  <c r="H176" i="10" s="1"/>
  <c r="T175" i="10"/>
  <c r="R175" i="10"/>
  <c r="O175" i="10"/>
  <c r="F175" i="10"/>
  <c r="H175" i="10" s="1"/>
  <c r="T174" i="10"/>
  <c r="R174" i="10"/>
  <c r="O174" i="10"/>
  <c r="F174" i="10"/>
  <c r="H174" i="10" s="1"/>
  <c r="T173" i="10"/>
  <c r="R173" i="10"/>
  <c r="O173" i="10"/>
  <c r="F173" i="10"/>
  <c r="H173" i="10" s="1"/>
  <c r="T172" i="10"/>
  <c r="R172" i="10"/>
  <c r="O172" i="10"/>
  <c r="F172" i="10"/>
  <c r="H172" i="10" s="1"/>
  <c r="T171" i="10"/>
  <c r="R171" i="10"/>
  <c r="O171" i="10"/>
  <c r="F171" i="10"/>
  <c r="H171" i="10" s="1"/>
  <c r="T170" i="10"/>
  <c r="R170" i="10"/>
  <c r="O170" i="10"/>
  <c r="F170" i="10"/>
  <c r="H170" i="10" s="1"/>
  <c r="T169" i="10"/>
  <c r="R169" i="10"/>
  <c r="O169" i="10"/>
  <c r="F169" i="10"/>
  <c r="H169" i="10" s="1"/>
  <c r="T168" i="10"/>
  <c r="R168" i="10"/>
  <c r="O168" i="10"/>
  <c r="F168" i="10"/>
  <c r="H168" i="10" s="1"/>
  <c r="T167" i="10"/>
  <c r="R167" i="10"/>
  <c r="O167" i="10"/>
  <c r="F167" i="10"/>
  <c r="H167" i="10" s="1"/>
  <c r="T166" i="10"/>
  <c r="R166" i="10"/>
  <c r="O166" i="10"/>
  <c r="F166" i="10"/>
  <c r="H166" i="10" s="1"/>
  <c r="T165" i="10"/>
  <c r="R165" i="10"/>
  <c r="O165" i="10"/>
  <c r="F165" i="10"/>
  <c r="H165" i="10" s="1"/>
  <c r="T164" i="10"/>
  <c r="R164" i="10"/>
  <c r="O164" i="10"/>
  <c r="F164" i="10"/>
  <c r="H164" i="10" s="1"/>
  <c r="T163" i="10"/>
  <c r="R163" i="10"/>
  <c r="O163" i="10"/>
  <c r="F163" i="10"/>
  <c r="H163" i="10" s="1"/>
  <c r="T162" i="10"/>
  <c r="R162" i="10"/>
  <c r="O162" i="10"/>
  <c r="F162" i="10"/>
  <c r="H162" i="10" s="1"/>
  <c r="T161" i="10"/>
  <c r="R161" i="10"/>
  <c r="O161" i="10"/>
  <c r="F161" i="10"/>
  <c r="H161" i="10" s="1"/>
  <c r="T160" i="10"/>
  <c r="R160" i="10"/>
  <c r="O160" i="10"/>
  <c r="F160" i="10"/>
  <c r="H160" i="10" s="1"/>
  <c r="T159" i="10"/>
  <c r="R159" i="10"/>
  <c r="O159" i="10"/>
  <c r="F159" i="10"/>
  <c r="H159" i="10" s="1"/>
  <c r="T158" i="10"/>
  <c r="R158" i="10"/>
  <c r="O158" i="10"/>
  <c r="F158" i="10"/>
  <c r="H158" i="10" s="1"/>
  <c r="T157" i="10"/>
  <c r="R157" i="10"/>
  <c r="O157" i="10"/>
  <c r="F157" i="10"/>
  <c r="H157" i="10" s="1"/>
  <c r="T156" i="10"/>
  <c r="R156" i="10"/>
  <c r="O156" i="10"/>
  <c r="F156" i="10"/>
  <c r="H156" i="10" s="1"/>
  <c r="T155" i="10"/>
  <c r="R155" i="10"/>
  <c r="O155" i="10"/>
  <c r="F155" i="10"/>
  <c r="H155" i="10" s="1"/>
  <c r="T154" i="10"/>
  <c r="R154" i="10"/>
  <c r="O154" i="10"/>
  <c r="F154" i="10"/>
  <c r="H154" i="10" s="1"/>
  <c r="T153" i="10"/>
  <c r="R153" i="10"/>
  <c r="O153" i="10"/>
  <c r="F153" i="10"/>
  <c r="H153" i="10" s="1"/>
  <c r="T152" i="10"/>
  <c r="R152" i="10"/>
  <c r="O152" i="10"/>
  <c r="F152" i="10"/>
  <c r="H152" i="10" s="1"/>
  <c r="T151" i="10"/>
  <c r="R151" i="10"/>
  <c r="O151" i="10"/>
  <c r="F151" i="10"/>
  <c r="H151" i="10" s="1"/>
  <c r="T150" i="10"/>
  <c r="R150" i="10"/>
  <c r="O150" i="10"/>
  <c r="F150" i="10"/>
  <c r="H150" i="10" s="1"/>
  <c r="T149" i="10"/>
  <c r="R149" i="10"/>
  <c r="O149" i="10"/>
  <c r="F149" i="10"/>
  <c r="H149" i="10" s="1"/>
  <c r="T148" i="10"/>
  <c r="R148" i="10"/>
  <c r="O148" i="10"/>
  <c r="F148" i="10"/>
  <c r="H148" i="10" s="1"/>
  <c r="T147" i="10"/>
  <c r="R147" i="10"/>
  <c r="O147" i="10"/>
  <c r="F147" i="10"/>
  <c r="H147" i="10" s="1"/>
  <c r="T146" i="10"/>
  <c r="R146" i="10"/>
  <c r="O146" i="10"/>
  <c r="F146" i="10"/>
  <c r="H146" i="10" s="1"/>
  <c r="T145" i="10"/>
  <c r="R145" i="10"/>
  <c r="O145" i="10"/>
  <c r="F145" i="10"/>
  <c r="H145" i="10" s="1"/>
  <c r="T144" i="10"/>
  <c r="R144" i="10"/>
  <c r="O144" i="10"/>
  <c r="F144" i="10"/>
  <c r="H144" i="10" s="1"/>
  <c r="T143" i="10"/>
  <c r="R143" i="10"/>
  <c r="O143" i="10"/>
  <c r="F143" i="10"/>
  <c r="H143" i="10" s="1"/>
  <c r="T142" i="10"/>
  <c r="R142" i="10"/>
  <c r="O142" i="10"/>
  <c r="F142" i="10"/>
  <c r="H142" i="10" s="1"/>
  <c r="T141" i="10"/>
  <c r="R141" i="10"/>
  <c r="O141" i="10"/>
  <c r="F141" i="10"/>
  <c r="H141" i="10" s="1"/>
  <c r="T140" i="10"/>
  <c r="R140" i="10"/>
  <c r="O140" i="10"/>
  <c r="F140" i="10"/>
  <c r="H140" i="10" s="1"/>
  <c r="T139" i="10"/>
  <c r="R139" i="10"/>
  <c r="O139" i="10"/>
  <c r="F139" i="10"/>
  <c r="H139" i="10" s="1"/>
  <c r="T138" i="10"/>
  <c r="R138" i="10"/>
  <c r="O138" i="10"/>
  <c r="F138" i="10"/>
  <c r="H138" i="10" s="1"/>
  <c r="T137" i="10"/>
  <c r="R137" i="10"/>
  <c r="O137" i="10"/>
  <c r="F137" i="10"/>
  <c r="H137" i="10" s="1"/>
  <c r="T136" i="10"/>
  <c r="R136" i="10"/>
  <c r="O136" i="10"/>
  <c r="F136" i="10"/>
  <c r="H136" i="10" s="1"/>
  <c r="T135" i="10"/>
  <c r="R135" i="10"/>
  <c r="O135" i="10"/>
  <c r="F135" i="10"/>
  <c r="H135" i="10" s="1"/>
  <c r="T134" i="10"/>
  <c r="R134" i="10"/>
  <c r="O134" i="10"/>
  <c r="F134" i="10"/>
  <c r="H134" i="10" s="1"/>
  <c r="T133" i="10"/>
  <c r="R133" i="10"/>
  <c r="O133" i="10"/>
  <c r="F133" i="10"/>
  <c r="H133" i="10" s="1"/>
  <c r="T132" i="10"/>
  <c r="R132" i="10"/>
  <c r="O132" i="10"/>
  <c r="F132" i="10"/>
  <c r="H132" i="10" s="1"/>
  <c r="T131" i="10"/>
  <c r="R131" i="10"/>
  <c r="O131" i="10"/>
  <c r="F131" i="10"/>
  <c r="H131" i="10" s="1"/>
  <c r="T130" i="10"/>
  <c r="Q130" i="10"/>
  <c r="R130" i="10" s="1"/>
  <c r="K130" i="10"/>
  <c r="O130" i="10" s="1"/>
  <c r="G130" i="10"/>
  <c r="E130" i="10"/>
  <c r="F130" i="10" s="1"/>
  <c r="T129" i="10"/>
  <c r="Q129" i="10"/>
  <c r="R129" i="10" s="1"/>
  <c r="O129" i="10"/>
  <c r="K129" i="10"/>
  <c r="G129" i="10"/>
  <c r="E129" i="10"/>
  <c r="F129" i="10" s="1"/>
  <c r="T128" i="10"/>
  <c r="Q128" i="10"/>
  <c r="R128" i="10" s="1"/>
  <c r="K128" i="10"/>
  <c r="O128" i="10" s="1"/>
  <c r="G128" i="10"/>
  <c r="E128" i="10"/>
  <c r="F128" i="10" s="1"/>
  <c r="T127" i="10"/>
  <c r="R127" i="10"/>
  <c r="O127" i="10"/>
  <c r="F127" i="10"/>
  <c r="H127" i="10" s="1"/>
  <c r="T126" i="10"/>
  <c r="R126" i="10"/>
  <c r="O126" i="10"/>
  <c r="F126" i="10"/>
  <c r="H126" i="10" s="1"/>
  <c r="T125" i="10"/>
  <c r="R125" i="10"/>
  <c r="O125" i="10"/>
  <c r="F125" i="10"/>
  <c r="H125" i="10" s="1"/>
  <c r="T124" i="10"/>
  <c r="R124" i="10"/>
  <c r="O124" i="10"/>
  <c r="F124" i="10"/>
  <c r="H124" i="10" s="1"/>
  <c r="T123" i="10"/>
  <c r="R123" i="10"/>
  <c r="O123" i="10"/>
  <c r="F123" i="10"/>
  <c r="H123" i="10" s="1"/>
  <c r="T122" i="10"/>
  <c r="R122" i="10"/>
  <c r="O122" i="10"/>
  <c r="F122" i="10"/>
  <c r="H122" i="10" s="1"/>
  <c r="T121" i="10"/>
  <c r="R121" i="10"/>
  <c r="O121" i="10"/>
  <c r="F121" i="10"/>
  <c r="H121" i="10" s="1"/>
  <c r="T120" i="10"/>
  <c r="R120" i="10"/>
  <c r="O120" i="10"/>
  <c r="F120" i="10"/>
  <c r="H120" i="10" s="1"/>
  <c r="T119" i="10"/>
  <c r="R119" i="10"/>
  <c r="O119" i="10"/>
  <c r="F119" i="10"/>
  <c r="H119" i="10" s="1"/>
  <c r="T118" i="10"/>
  <c r="Q118" i="10"/>
  <c r="R118" i="10" s="1"/>
  <c r="K118" i="10"/>
  <c r="O118" i="10" s="1"/>
  <c r="G118" i="10"/>
  <c r="E118" i="10"/>
  <c r="F118" i="10" s="1"/>
  <c r="T117" i="10"/>
  <c r="Q117" i="10"/>
  <c r="R117" i="10" s="1"/>
  <c r="K117" i="10"/>
  <c r="O117" i="10" s="1"/>
  <c r="G117" i="10"/>
  <c r="E117" i="10"/>
  <c r="F117" i="10" s="1"/>
  <c r="T116" i="10"/>
  <c r="Q116" i="10"/>
  <c r="R116" i="10" s="1"/>
  <c r="K116" i="10"/>
  <c r="O116" i="10" s="1"/>
  <c r="G116" i="10"/>
  <c r="E116" i="10"/>
  <c r="F116" i="10" s="1"/>
  <c r="T115" i="10"/>
  <c r="Q115" i="10"/>
  <c r="R115" i="10" s="1"/>
  <c r="K115" i="10"/>
  <c r="O115" i="10" s="1"/>
  <c r="G115" i="10"/>
  <c r="E115" i="10"/>
  <c r="F115" i="10" s="1"/>
  <c r="T114" i="10"/>
  <c r="Q114" i="10"/>
  <c r="R114" i="10" s="1"/>
  <c r="K114" i="10"/>
  <c r="O114" i="10" s="1"/>
  <c r="G114" i="10"/>
  <c r="E114" i="10"/>
  <c r="F114" i="10" s="1"/>
  <c r="T113" i="10"/>
  <c r="Q113" i="10"/>
  <c r="R113" i="10" s="1"/>
  <c r="K113" i="10"/>
  <c r="O113" i="10" s="1"/>
  <c r="G113" i="10"/>
  <c r="E113" i="10"/>
  <c r="F113" i="10" s="1"/>
  <c r="T112" i="10"/>
  <c r="Q112" i="10"/>
  <c r="R112" i="10" s="1"/>
  <c r="K112" i="10"/>
  <c r="O112" i="10" s="1"/>
  <c r="G112" i="10"/>
  <c r="E112" i="10"/>
  <c r="F112" i="10" s="1"/>
  <c r="T111" i="10"/>
  <c r="Q111" i="10"/>
  <c r="R111" i="10" s="1"/>
  <c r="K111" i="10"/>
  <c r="O111" i="10" s="1"/>
  <c r="G111" i="10"/>
  <c r="E111" i="10"/>
  <c r="F111" i="10" s="1"/>
  <c r="H111" i="10" s="1"/>
  <c r="T110" i="10"/>
  <c r="Q110" i="10"/>
  <c r="R110" i="10" s="1"/>
  <c r="K110" i="10"/>
  <c r="O110" i="10" s="1"/>
  <c r="G110" i="10"/>
  <c r="E110" i="10"/>
  <c r="F110" i="10" s="1"/>
  <c r="T109" i="10"/>
  <c r="Q109" i="10"/>
  <c r="R109" i="10" s="1"/>
  <c r="K109" i="10"/>
  <c r="O109" i="10" s="1"/>
  <c r="G109" i="10"/>
  <c r="E109" i="10"/>
  <c r="F109" i="10" s="1"/>
  <c r="T108" i="10"/>
  <c r="Q108" i="10"/>
  <c r="R108" i="10" s="1"/>
  <c r="K108" i="10"/>
  <c r="O108" i="10" s="1"/>
  <c r="G108" i="10"/>
  <c r="E108" i="10"/>
  <c r="F108" i="10" s="1"/>
  <c r="T107" i="10"/>
  <c r="Q107" i="10"/>
  <c r="R107" i="10" s="1"/>
  <c r="K107" i="10"/>
  <c r="O107" i="10" s="1"/>
  <c r="G107" i="10"/>
  <c r="E107" i="10"/>
  <c r="F107" i="10" s="1"/>
  <c r="T106" i="10"/>
  <c r="R106" i="10"/>
  <c r="O106" i="10"/>
  <c r="F106" i="10"/>
  <c r="H106" i="10" s="1"/>
  <c r="T105" i="10"/>
  <c r="R105" i="10"/>
  <c r="O105" i="10"/>
  <c r="F105" i="10"/>
  <c r="H105" i="10" s="1"/>
  <c r="T104" i="10"/>
  <c r="R104" i="10"/>
  <c r="O104" i="10"/>
  <c r="F104" i="10"/>
  <c r="H104" i="10" s="1"/>
  <c r="T103" i="10"/>
  <c r="R103" i="10"/>
  <c r="O103" i="10"/>
  <c r="F103" i="10"/>
  <c r="H103" i="10" s="1"/>
  <c r="T102" i="10"/>
  <c r="R102" i="10"/>
  <c r="O102" i="10"/>
  <c r="F102" i="10"/>
  <c r="H102" i="10" s="1"/>
  <c r="T101" i="10"/>
  <c r="R101" i="10"/>
  <c r="O101" i="10"/>
  <c r="F101" i="10"/>
  <c r="H101" i="10" s="1"/>
  <c r="T100" i="10"/>
  <c r="R100" i="10"/>
  <c r="O100" i="10"/>
  <c r="F100" i="10"/>
  <c r="H100" i="10" s="1"/>
  <c r="T99" i="10"/>
  <c r="R99" i="10"/>
  <c r="O99" i="10"/>
  <c r="F99" i="10"/>
  <c r="H99" i="10" s="1"/>
  <c r="T98" i="10"/>
  <c r="R98" i="10"/>
  <c r="O98" i="10"/>
  <c r="F98" i="10"/>
  <c r="H98" i="10" s="1"/>
  <c r="T97" i="10"/>
  <c r="Q97" i="10"/>
  <c r="R97" i="10" s="1"/>
  <c r="K97" i="10"/>
  <c r="O97" i="10" s="1"/>
  <c r="G97" i="10"/>
  <c r="E97" i="10"/>
  <c r="F97" i="10" s="1"/>
  <c r="T96" i="10"/>
  <c r="Q96" i="10"/>
  <c r="R96" i="10" s="1"/>
  <c r="K96" i="10"/>
  <c r="O96" i="10" s="1"/>
  <c r="G96" i="10"/>
  <c r="E96" i="10"/>
  <c r="F96" i="10" s="1"/>
  <c r="T95" i="10"/>
  <c r="Q95" i="10"/>
  <c r="R95" i="10" s="1"/>
  <c r="K95" i="10"/>
  <c r="O95" i="10" s="1"/>
  <c r="G95" i="10"/>
  <c r="E95" i="10"/>
  <c r="F95" i="10" s="1"/>
  <c r="T94" i="10"/>
  <c r="R94" i="10"/>
  <c r="O94" i="10"/>
  <c r="F94" i="10"/>
  <c r="H94" i="10" s="1"/>
  <c r="T93" i="10"/>
  <c r="R93" i="10"/>
  <c r="O93" i="10"/>
  <c r="F93" i="10"/>
  <c r="H93" i="10" s="1"/>
  <c r="T92" i="10"/>
  <c r="R92" i="10"/>
  <c r="O92" i="10"/>
  <c r="F92" i="10"/>
  <c r="H92" i="10" s="1"/>
  <c r="T91" i="10"/>
  <c r="R91" i="10"/>
  <c r="O91" i="10"/>
  <c r="F91" i="10"/>
  <c r="H91" i="10" s="1"/>
  <c r="T90" i="10"/>
  <c r="R90" i="10"/>
  <c r="O90" i="10"/>
  <c r="F90" i="10"/>
  <c r="H90" i="10" s="1"/>
  <c r="T89" i="10"/>
  <c r="R89" i="10"/>
  <c r="O89" i="10"/>
  <c r="F89" i="10"/>
  <c r="H89" i="10" s="1"/>
  <c r="T88" i="10"/>
  <c r="R88" i="10"/>
  <c r="O88" i="10"/>
  <c r="F88" i="10"/>
  <c r="H88" i="10" s="1"/>
  <c r="T87" i="10"/>
  <c r="R87" i="10"/>
  <c r="O87" i="10"/>
  <c r="F87" i="10"/>
  <c r="H87" i="10" s="1"/>
  <c r="T86" i="10"/>
  <c r="R86" i="10"/>
  <c r="O86" i="10"/>
  <c r="F86" i="10"/>
  <c r="H86" i="10" s="1"/>
  <c r="T85" i="10"/>
  <c r="Q85" i="10"/>
  <c r="R85" i="10" s="1"/>
  <c r="K85" i="10"/>
  <c r="O85" i="10" s="1"/>
  <c r="G85" i="10"/>
  <c r="E85" i="10"/>
  <c r="F85" i="10" s="1"/>
  <c r="T84" i="10"/>
  <c r="Q84" i="10"/>
  <c r="R84" i="10" s="1"/>
  <c r="K84" i="10"/>
  <c r="O84" i="10" s="1"/>
  <c r="G84" i="10"/>
  <c r="E84" i="10"/>
  <c r="F84" i="10" s="1"/>
  <c r="T83" i="10"/>
  <c r="Q83" i="10"/>
  <c r="R83" i="10" s="1"/>
  <c r="K83" i="10"/>
  <c r="O83" i="10" s="1"/>
  <c r="G83" i="10"/>
  <c r="E83" i="10"/>
  <c r="F83" i="10" s="1"/>
  <c r="T82" i="10"/>
  <c r="R82" i="10"/>
  <c r="O82" i="10"/>
  <c r="F82" i="10"/>
  <c r="H82" i="10" s="1"/>
  <c r="T81" i="10"/>
  <c r="R81" i="10"/>
  <c r="O81" i="10"/>
  <c r="F81" i="10"/>
  <c r="H81" i="10" s="1"/>
  <c r="T80" i="10"/>
  <c r="R80" i="10"/>
  <c r="O80" i="10"/>
  <c r="F80" i="10"/>
  <c r="H80" i="10" s="1"/>
  <c r="T79" i="10"/>
  <c r="Q79" i="10"/>
  <c r="R79" i="10" s="1"/>
  <c r="K79" i="10"/>
  <c r="O79" i="10" s="1"/>
  <c r="G79" i="10"/>
  <c r="E79" i="10"/>
  <c r="F79" i="10" s="1"/>
  <c r="T78" i="10"/>
  <c r="Q78" i="10"/>
  <c r="R78" i="10" s="1"/>
  <c r="K78" i="10"/>
  <c r="O78" i="10" s="1"/>
  <c r="G78" i="10"/>
  <c r="E78" i="10"/>
  <c r="F78" i="10" s="1"/>
  <c r="T77" i="10"/>
  <c r="Q77" i="10"/>
  <c r="R77" i="10" s="1"/>
  <c r="K77" i="10"/>
  <c r="O77" i="10" s="1"/>
  <c r="G77" i="10"/>
  <c r="E77" i="10"/>
  <c r="F77" i="10" s="1"/>
  <c r="T76" i="10"/>
  <c r="R76" i="10"/>
  <c r="O76" i="10"/>
  <c r="F76" i="10"/>
  <c r="H76" i="10" s="1"/>
  <c r="T75" i="10"/>
  <c r="R75" i="10"/>
  <c r="O75" i="10"/>
  <c r="F75" i="10"/>
  <c r="H75" i="10" s="1"/>
  <c r="T74" i="10"/>
  <c r="R74" i="10"/>
  <c r="O74" i="10"/>
  <c r="F74" i="10"/>
  <c r="H74" i="10" s="1"/>
  <c r="T73" i="10"/>
  <c r="R73" i="10"/>
  <c r="O73" i="10"/>
  <c r="F73" i="10"/>
  <c r="H73" i="10" s="1"/>
  <c r="T72" i="10"/>
  <c r="R72" i="10"/>
  <c r="O72" i="10"/>
  <c r="F72" i="10"/>
  <c r="H72" i="10" s="1"/>
  <c r="T71" i="10"/>
  <c r="R71" i="10"/>
  <c r="O71" i="10"/>
  <c r="F71" i="10"/>
  <c r="H71" i="10" s="1"/>
  <c r="T70" i="10"/>
  <c r="R70" i="10"/>
  <c r="O70" i="10"/>
  <c r="F70" i="10"/>
  <c r="H70" i="10" s="1"/>
  <c r="T69" i="10"/>
  <c r="R69" i="10"/>
  <c r="O69" i="10"/>
  <c r="F69" i="10"/>
  <c r="H69" i="10" s="1"/>
  <c r="T68" i="10"/>
  <c r="R68" i="10"/>
  <c r="O68" i="10"/>
  <c r="F68" i="10"/>
  <c r="H68" i="10" s="1"/>
  <c r="T67" i="10"/>
  <c r="R67" i="10"/>
  <c r="O67" i="10"/>
  <c r="F67" i="10"/>
  <c r="H67" i="10" s="1"/>
  <c r="T66" i="10"/>
  <c r="R66" i="10"/>
  <c r="O66" i="10"/>
  <c r="F66" i="10"/>
  <c r="H66" i="10" s="1"/>
  <c r="T65" i="10"/>
  <c r="R65" i="10"/>
  <c r="O65" i="10"/>
  <c r="F65" i="10"/>
  <c r="H65" i="10" s="1"/>
  <c r="T64" i="10"/>
  <c r="Q64" i="10"/>
  <c r="R64" i="10" s="1"/>
  <c r="K64" i="10"/>
  <c r="O64" i="10" s="1"/>
  <c r="G64" i="10"/>
  <c r="E64" i="10"/>
  <c r="F64" i="10" s="1"/>
  <c r="T63" i="10"/>
  <c r="Q63" i="10"/>
  <c r="R63" i="10" s="1"/>
  <c r="K63" i="10"/>
  <c r="O63" i="10" s="1"/>
  <c r="G63" i="10"/>
  <c r="E63" i="10"/>
  <c r="F63" i="10" s="1"/>
  <c r="T62" i="10"/>
  <c r="Q62" i="10"/>
  <c r="R62" i="10" s="1"/>
  <c r="K62" i="10"/>
  <c r="O62" i="10" s="1"/>
  <c r="G62" i="10"/>
  <c r="E62" i="10"/>
  <c r="F62" i="10" s="1"/>
  <c r="T61" i="10"/>
  <c r="Q61" i="10"/>
  <c r="R61" i="10" s="1"/>
  <c r="K61" i="10"/>
  <c r="O61" i="10" s="1"/>
  <c r="G61" i="10"/>
  <c r="E61" i="10"/>
  <c r="F61" i="10" s="1"/>
  <c r="T60" i="10"/>
  <c r="Q60" i="10"/>
  <c r="R60" i="10" s="1"/>
  <c r="K60" i="10"/>
  <c r="O60" i="10" s="1"/>
  <c r="G60" i="10"/>
  <c r="E60" i="10"/>
  <c r="F60" i="10" s="1"/>
  <c r="T59" i="10"/>
  <c r="Q59" i="10"/>
  <c r="R59" i="10" s="1"/>
  <c r="K59" i="10"/>
  <c r="O59" i="10" s="1"/>
  <c r="G59" i="10"/>
  <c r="E59" i="10"/>
  <c r="F59" i="10" s="1"/>
  <c r="T58" i="10"/>
  <c r="Q58" i="10"/>
  <c r="R58" i="10" s="1"/>
  <c r="K58" i="10"/>
  <c r="O58" i="10" s="1"/>
  <c r="G58" i="10"/>
  <c r="E58" i="10"/>
  <c r="F58" i="10" s="1"/>
  <c r="T57" i="10"/>
  <c r="Q57" i="10"/>
  <c r="R57" i="10" s="1"/>
  <c r="K57" i="10"/>
  <c r="O57" i="10" s="1"/>
  <c r="G57" i="10"/>
  <c r="E57" i="10"/>
  <c r="F57" i="10" s="1"/>
  <c r="T56" i="10"/>
  <c r="Q56" i="10"/>
  <c r="R56" i="10" s="1"/>
  <c r="K56" i="10"/>
  <c r="O56" i="10" s="1"/>
  <c r="G56" i="10"/>
  <c r="E56" i="10"/>
  <c r="F56" i="10" s="1"/>
  <c r="T55" i="10"/>
  <c r="Q55" i="10"/>
  <c r="R55" i="10" s="1"/>
  <c r="K55" i="10"/>
  <c r="O55" i="10" s="1"/>
  <c r="G55" i="10"/>
  <c r="E55" i="10"/>
  <c r="F55" i="10" s="1"/>
  <c r="T54" i="10"/>
  <c r="Q54" i="10"/>
  <c r="R54" i="10" s="1"/>
  <c r="K54" i="10"/>
  <c r="O54" i="10" s="1"/>
  <c r="G54" i="10"/>
  <c r="E54" i="10"/>
  <c r="F54" i="10" s="1"/>
  <c r="H54" i="10" s="1"/>
  <c r="T53" i="10"/>
  <c r="Q53" i="10"/>
  <c r="R53" i="10" s="1"/>
  <c r="K53" i="10"/>
  <c r="O53" i="10" s="1"/>
  <c r="G53" i="10"/>
  <c r="E53" i="10"/>
  <c r="F53" i="10" s="1"/>
  <c r="T52" i="10"/>
  <c r="R52" i="10"/>
  <c r="O52" i="10"/>
  <c r="F52" i="10"/>
  <c r="H52" i="10" s="1"/>
  <c r="T51" i="10"/>
  <c r="R51" i="10"/>
  <c r="O51" i="10"/>
  <c r="F51" i="10"/>
  <c r="H51" i="10" s="1"/>
  <c r="T50" i="10"/>
  <c r="R50" i="10"/>
  <c r="O50" i="10"/>
  <c r="F50" i="10"/>
  <c r="H50" i="10" s="1"/>
  <c r="T49" i="10"/>
  <c r="R49" i="10"/>
  <c r="O49" i="10"/>
  <c r="F49" i="10"/>
  <c r="H49" i="10" s="1"/>
  <c r="T48" i="10"/>
  <c r="R48" i="10"/>
  <c r="O48" i="10"/>
  <c r="F48" i="10"/>
  <c r="H48" i="10" s="1"/>
  <c r="T47" i="10"/>
  <c r="R47" i="10"/>
  <c r="O47" i="10"/>
  <c r="F47" i="10"/>
  <c r="H47" i="10" s="1"/>
  <c r="T46" i="10"/>
  <c r="R46" i="10"/>
  <c r="O46" i="10"/>
  <c r="F46" i="10"/>
  <c r="H46" i="10" s="1"/>
  <c r="T45" i="10"/>
  <c r="R45" i="10"/>
  <c r="O45" i="10"/>
  <c r="F45" i="10"/>
  <c r="H45" i="10" s="1"/>
  <c r="T44" i="10"/>
  <c r="R44" i="10"/>
  <c r="O44" i="10"/>
  <c r="F44" i="10"/>
  <c r="H44" i="10" s="1"/>
  <c r="T43" i="10"/>
  <c r="Q43" i="10"/>
  <c r="R43" i="10" s="1"/>
  <c r="K43" i="10"/>
  <c r="O43" i="10" s="1"/>
  <c r="G43" i="10"/>
  <c r="E43" i="10"/>
  <c r="F43" i="10" s="1"/>
  <c r="T42" i="10"/>
  <c r="Q42" i="10"/>
  <c r="R42" i="10" s="1"/>
  <c r="K42" i="10"/>
  <c r="O42" i="10" s="1"/>
  <c r="G42" i="10"/>
  <c r="E42" i="10"/>
  <c r="F42" i="10" s="1"/>
  <c r="T41" i="10"/>
  <c r="Q41" i="10"/>
  <c r="R41" i="10" s="1"/>
  <c r="K41" i="10"/>
  <c r="O41" i="10" s="1"/>
  <c r="G41" i="10"/>
  <c r="E41" i="10"/>
  <c r="F41" i="10" s="1"/>
  <c r="T40" i="10"/>
  <c r="R40" i="10"/>
  <c r="O40" i="10"/>
  <c r="F40" i="10"/>
  <c r="H40" i="10" s="1"/>
  <c r="T39" i="10"/>
  <c r="R39" i="10"/>
  <c r="O39" i="10"/>
  <c r="F39" i="10"/>
  <c r="H39" i="10" s="1"/>
  <c r="T38" i="10"/>
  <c r="R38" i="10"/>
  <c r="O38" i="10"/>
  <c r="F38" i="10"/>
  <c r="H38" i="10" s="1"/>
  <c r="T37" i="10"/>
  <c r="Q37" i="10"/>
  <c r="R37" i="10" s="1"/>
  <c r="K37" i="10"/>
  <c r="O37" i="10" s="1"/>
  <c r="G37" i="10"/>
  <c r="E37" i="10"/>
  <c r="F37" i="10" s="1"/>
  <c r="T36" i="10"/>
  <c r="Q36" i="10"/>
  <c r="R36" i="10" s="1"/>
  <c r="K36" i="10"/>
  <c r="O36" i="10" s="1"/>
  <c r="G36" i="10"/>
  <c r="E36" i="10"/>
  <c r="F36" i="10" s="1"/>
  <c r="T35" i="10"/>
  <c r="Q35" i="10"/>
  <c r="R35" i="10" s="1"/>
  <c r="K35" i="10"/>
  <c r="O35" i="10" s="1"/>
  <c r="G35" i="10"/>
  <c r="E35" i="10"/>
  <c r="F35" i="10" s="1"/>
  <c r="T34" i="10"/>
  <c r="R34" i="10"/>
  <c r="O34" i="10"/>
  <c r="F34" i="10"/>
  <c r="H34" i="10" s="1"/>
  <c r="T33" i="10"/>
  <c r="R33" i="10"/>
  <c r="O33" i="10"/>
  <c r="F33" i="10"/>
  <c r="H33" i="10" s="1"/>
  <c r="T32" i="10"/>
  <c r="R32" i="10"/>
  <c r="O32" i="10"/>
  <c r="F32" i="10"/>
  <c r="H32" i="10" s="1"/>
  <c r="T31" i="10"/>
  <c r="R31" i="10"/>
  <c r="O31" i="10"/>
  <c r="F31" i="10"/>
  <c r="H31" i="10" s="1"/>
  <c r="T30" i="10"/>
  <c r="R30" i="10"/>
  <c r="O30" i="10"/>
  <c r="F30" i="10"/>
  <c r="H30" i="10" s="1"/>
  <c r="T29" i="10"/>
  <c r="R29" i="10"/>
  <c r="O29" i="10"/>
  <c r="F29" i="10"/>
  <c r="H29" i="10" s="1"/>
  <c r="T28" i="10"/>
  <c r="R28" i="10"/>
  <c r="O28" i="10"/>
  <c r="F28" i="10"/>
  <c r="H28" i="10" s="1"/>
  <c r="T27" i="10"/>
  <c r="R27" i="10"/>
  <c r="O27" i="10"/>
  <c r="F27" i="10"/>
  <c r="H27" i="10" s="1"/>
  <c r="T26" i="10"/>
  <c r="R26" i="10"/>
  <c r="O26" i="10"/>
  <c r="F26" i="10"/>
  <c r="H26" i="10" s="1"/>
  <c r="T25" i="10"/>
  <c r="Q25" i="10"/>
  <c r="R25" i="10" s="1"/>
  <c r="K25" i="10"/>
  <c r="O25" i="10" s="1"/>
  <c r="G25" i="10"/>
  <c r="E25" i="10"/>
  <c r="F25" i="10" s="1"/>
  <c r="T24" i="10"/>
  <c r="Q24" i="10"/>
  <c r="R24" i="10" s="1"/>
  <c r="K24" i="10"/>
  <c r="O24" i="10" s="1"/>
  <c r="G24" i="10"/>
  <c r="E24" i="10"/>
  <c r="F24" i="10" s="1"/>
  <c r="T23" i="10"/>
  <c r="Q23" i="10"/>
  <c r="R23" i="10" s="1"/>
  <c r="K23" i="10"/>
  <c r="O23" i="10" s="1"/>
  <c r="G23" i="10"/>
  <c r="E23" i="10"/>
  <c r="F23" i="10" s="1"/>
  <c r="T22" i="10"/>
  <c r="R22" i="10"/>
  <c r="O22" i="10"/>
  <c r="F22" i="10"/>
  <c r="H22" i="10" s="1"/>
  <c r="T21" i="10"/>
  <c r="R21" i="10"/>
  <c r="O21" i="10"/>
  <c r="F21" i="10"/>
  <c r="H21" i="10" s="1"/>
  <c r="T20" i="10"/>
  <c r="R20" i="10"/>
  <c r="O20" i="10"/>
  <c r="F20" i="10"/>
  <c r="H20" i="10" s="1"/>
  <c r="T19" i="10"/>
  <c r="R19" i="10"/>
  <c r="O19" i="10"/>
  <c r="F19" i="10"/>
  <c r="H19" i="10" s="1"/>
  <c r="T18" i="10"/>
  <c r="R18" i="10"/>
  <c r="O18" i="10"/>
  <c r="F18" i="10"/>
  <c r="H18" i="10" s="1"/>
  <c r="T17" i="10"/>
  <c r="R17" i="10"/>
  <c r="O17" i="10"/>
  <c r="F17" i="10"/>
  <c r="H17" i="10" s="1"/>
  <c r="T16" i="10"/>
  <c r="R16" i="10"/>
  <c r="O16" i="10"/>
  <c r="F16" i="10"/>
  <c r="H16" i="10" s="1"/>
  <c r="T15" i="10"/>
  <c r="R15" i="10"/>
  <c r="O15" i="10"/>
  <c r="F15" i="10"/>
  <c r="H15" i="10" s="1"/>
  <c r="T14" i="10"/>
  <c r="R14" i="10"/>
  <c r="O14" i="10"/>
  <c r="F14" i="10"/>
  <c r="H14" i="10" s="1"/>
  <c r="T13" i="10"/>
  <c r="R13" i="10"/>
  <c r="O13" i="10"/>
  <c r="F13" i="10"/>
  <c r="H13" i="10" s="1"/>
  <c r="T12" i="10"/>
  <c r="R12" i="10"/>
  <c r="O12" i="10"/>
  <c r="F12" i="10"/>
  <c r="H12" i="10" s="1"/>
  <c r="T11" i="10"/>
  <c r="R11" i="10"/>
  <c r="O11" i="10"/>
  <c r="F11" i="10"/>
  <c r="H11" i="10" s="1"/>
  <c r="T10" i="10"/>
  <c r="R10" i="10"/>
  <c r="O10" i="10"/>
  <c r="F10" i="10"/>
  <c r="H10" i="10" s="1"/>
  <c r="T9" i="10"/>
  <c r="R9" i="10"/>
  <c r="O9" i="10"/>
  <c r="F9" i="10"/>
  <c r="H9" i="10" s="1"/>
  <c r="T8" i="10"/>
  <c r="R8" i="10"/>
  <c r="O8" i="10"/>
  <c r="F8" i="10"/>
  <c r="H8" i="10" s="1"/>
  <c r="T7" i="10"/>
  <c r="R7" i="10"/>
  <c r="O7" i="10"/>
  <c r="F7" i="10"/>
  <c r="H7" i="10" s="1"/>
  <c r="T6" i="10"/>
  <c r="R6" i="10"/>
  <c r="O6" i="10"/>
  <c r="F6" i="10"/>
  <c r="H6" i="10" s="1"/>
  <c r="T5" i="10"/>
  <c r="R5" i="10"/>
  <c r="O5" i="10"/>
  <c r="F5" i="10"/>
  <c r="H5" i="10" s="1"/>
  <c r="T4" i="10"/>
  <c r="R4" i="10"/>
  <c r="O4" i="10"/>
  <c r="F4" i="10"/>
  <c r="H4" i="10" s="1"/>
  <c r="T3" i="10"/>
  <c r="R3" i="10"/>
  <c r="O3" i="10"/>
  <c r="F3" i="10"/>
  <c r="H3" i="10" s="1"/>
  <c r="T2" i="10"/>
  <c r="R2" i="10"/>
  <c r="O2" i="10"/>
  <c r="F2" i="10"/>
  <c r="H2" i="10" s="1"/>
  <c r="T202" i="1"/>
  <c r="T74" i="1"/>
  <c r="T8" i="1"/>
  <c r="T206" i="1"/>
  <c r="T4" i="1"/>
  <c r="F4" i="1"/>
  <c r="H4" i="1" s="1"/>
  <c r="O4" i="1"/>
  <c r="R4" i="1"/>
  <c r="F5" i="1"/>
  <c r="H5" i="1" s="1"/>
  <c r="O5" i="1"/>
  <c r="R5" i="1"/>
  <c r="T5" i="1"/>
  <c r="F6" i="1"/>
  <c r="H6" i="1" s="1"/>
  <c r="O6" i="1"/>
  <c r="R6" i="1"/>
  <c r="T6" i="1"/>
  <c r="F7" i="1"/>
  <c r="H7" i="1" s="1"/>
  <c r="O7" i="1"/>
  <c r="R7" i="1"/>
  <c r="T7" i="1"/>
  <c r="F8" i="1"/>
  <c r="H8" i="1" s="1"/>
  <c r="O8" i="1"/>
  <c r="R8" i="1"/>
  <c r="F9" i="1"/>
  <c r="H9" i="1"/>
  <c r="O9" i="1"/>
  <c r="R9" i="1"/>
  <c r="T9" i="1"/>
  <c r="F10" i="1"/>
  <c r="H10" i="1" s="1"/>
  <c r="O10" i="1"/>
  <c r="R10" i="1"/>
  <c r="T10" i="1"/>
  <c r="F11" i="1"/>
  <c r="H11" i="1" s="1"/>
  <c r="O11" i="1"/>
  <c r="R11" i="1"/>
  <c r="T11" i="1"/>
  <c r="F12" i="1"/>
  <c r="H12" i="1" s="1"/>
  <c r="O12" i="1"/>
  <c r="R12" i="1"/>
  <c r="T12" i="1"/>
  <c r="F13" i="1"/>
  <c r="H13" i="1" s="1"/>
  <c r="O13" i="1"/>
  <c r="R13" i="1"/>
  <c r="T13" i="1"/>
  <c r="F14" i="1"/>
  <c r="H14" i="1" s="1"/>
  <c r="O14" i="1"/>
  <c r="R14" i="1"/>
  <c r="T14" i="1"/>
  <c r="F15" i="1"/>
  <c r="H15" i="1" s="1"/>
  <c r="O15" i="1"/>
  <c r="R15" i="1"/>
  <c r="T15" i="1"/>
  <c r="F16" i="1"/>
  <c r="H16" i="1" s="1"/>
  <c r="O16" i="1"/>
  <c r="R16" i="1"/>
  <c r="T16" i="1"/>
  <c r="F17" i="1"/>
  <c r="H17" i="1" s="1"/>
  <c r="O17" i="1"/>
  <c r="R17" i="1"/>
  <c r="T17" i="1"/>
  <c r="F18" i="1"/>
  <c r="H18" i="1" s="1"/>
  <c r="O18" i="1"/>
  <c r="R18" i="1"/>
  <c r="T18" i="1"/>
  <c r="F19" i="1"/>
  <c r="H19" i="1" s="1"/>
  <c r="O19" i="1"/>
  <c r="R19" i="1"/>
  <c r="T19" i="1"/>
  <c r="F20" i="1"/>
  <c r="H20" i="1" s="1"/>
  <c r="O20" i="1"/>
  <c r="R20" i="1"/>
  <c r="T20" i="1"/>
  <c r="F21" i="1"/>
  <c r="H21" i="1"/>
  <c r="O21" i="1"/>
  <c r="R21" i="1"/>
  <c r="T21" i="1"/>
  <c r="F22" i="1"/>
  <c r="H22" i="1" s="1"/>
  <c r="O22" i="1"/>
  <c r="R22" i="1"/>
  <c r="T22" i="1"/>
  <c r="F23" i="1"/>
  <c r="H23" i="1" s="1"/>
  <c r="O23" i="1"/>
  <c r="R23" i="1"/>
  <c r="T23" i="1"/>
  <c r="F24" i="1"/>
  <c r="H24" i="1" s="1"/>
  <c r="O24" i="1"/>
  <c r="R24" i="1"/>
  <c r="T24" i="1"/>
  <c r="E25" i="1"/>
  <c r="F25" i="1" s="1"/>
  <c r="G25" i="1"/>
  <c r="K25" i="1"/>
  <c r="O25" i="1" s="1"/>
  <c r="Q25" i="1"/>
  <c r="R25" i="1" s="1"/>
  <c r="T25" i="1"/>
  <c r="E26" i="1"/>
  <c r="F26" i="1"/>
  <c r="G26" i="1"/>
  <c r="K26" i="1"/>
  <c r="O26" i="1" s="1"/>
  <c r="Q26" i="1"/>
  <c r="R26" i="1" s="1"/>
  <c r="T26" i="1"/>
  <c r="E27" i="1"/>
  <c r="F27" i="1" s="1"/>
  <c r="H27" i="1" s="1"/>
  <c r="G27" i="1"/>
  <c r="K27" i="1"/>
  <c r="O27" i="1"/>
  <c r="Q27" i="1"/>
  <c r="R27" i="1" s="1"/>
  <c r="T27" i="1"/>
  <c r="F28" i="1"/>
  <c r="H28" i="1" s="1"/>
  <c r="O28" i="1"/>
  <c r="R28" i="1"/>
  <c r="T28" i="1"/>
  <c r="F29" i="1"/>
  <c r="H29" i="1" s="1"/>
  <c r="O29" i="1"/>
  <c r="R29" i="1"/>
  <c r="T29" i="1"/>
  <c r="F30" i="1"/>
  <c r="H30" i="1" s="1"/>
  <c r="O30" i="1"/>
  <c r="R30" i="1"/>
  <c r="T30" i="1"/>
  <c r="F31" i="1"/>
  <c r="H31" i="1"/>
  <c r="O31" i="1"/>
  <c r="R31" i="1"/>
  <c r="T31" i="1"/>
  <c r="F32" i="1"/>
  <c r="H32" i="1" s="1"/>
  <c r="O32" i="1"/>
  <c r="R32" i="1"/>
  <c r="T32" i="1"/>
  <c r="F33" i="1"/>
  <c r="H33" i="1"/>
  <c r="O33" i="1"/>
  <c r="R33" i="1"/>
  <c r="T33" i="1"/>
  <c r="F34" i="1"/>
  <c r="H34" i="1" s="1"/>
  <c r="O34" i="1"/>
  <c r="R34" i="1"/>
  <c r="T34" i="1"/>
  <c r="F35" i="1"/>
  <c r="H35" i="1" s="1"/>
  <c r="O35" i="1"/>
  <c r="R35" i="1"/>
  <c r="T35" i="1"/>
  <c r="F36" i="1"/>
  <c r="H36" i="1"/>
  <c r="O36" i="1"/>
  <c r="R36" i="1"/>
  <c r="T36" i="1"/>
  <c r="E37" i="1"/>
  <c r="F37" i="1" s="1"/>
  <c r="G37" i="1"/>
  <c r="K37" i="1"/>
  <c r="O37" i="1" s="1"/>
  <c r="Q37" i="1"/>
  <c r="R37" i="1"/>
  <c r="T37" i="1"/>
  <c r="E38" i="1"/>
  <c r="F38" i="1"/>
  <c r="G38" i="1"/>
  <c r="K38" i="1"/>
  <c r="O38" i="1" s="1"/>
  <c r="Q38" i="1"/>
  <c r="R38" i="1" s="1"/>
  <c r="T38" i="1"/>
  <c r="E39" i="1"/>
  <c r="F39" i="1" s="1"/>
  <c r="G39" i="1"/>
  <c r="K39" i="1"/>
  <c r="O39" i="1"/>
  <c r="Q39" i="1"/>
  <c r="R39" i="1" s="1"/>
  <c r="T39" i="1"/>
  <c r="F40" i="1"/>
  <c r="H40" i="1" s="1"/>
  <c r="O40" i="1"/>
  <c r="R40" i="1"/>
  <c r="T40" i="1"/>
  <c r="F41" i="1"/>
  <c r="H41" i="1" s="1"/>
  <c r="O41" i="1"/>
  <c r="R41" i="1"/>
  <c r="T41" i="1"/>
  <c r="F42" i="1"/>
  <c r="H42" i="1" s="1"/>
  <c r="O42" i="1"/>
  <c r="R42" i="1"/>
  <c r="T42" i="1"/>
  <c r="E43" i="1"/>
  <c r="F43" i="1" s="1"/>
  <c r="G43" i="1"/>
  <c r="K43" i="1"/>
  <c r="O43" i="1"/>
  <c r="Q43" i="1"/>
  <c r="R43" i="1" s="1"/>
  <c r="T43" i="1"/>
  <c r="E44" i="1"/>
  <c r="F44" i="1" s="1"/>
  <c r="G44" i="1"/>
  <c r="K44" i="1"/>
  <c r="O44" i="1"/>
  <c r="Q44" i="1"/>
  <c r="R44" i="1" s="1"/>
  <c r="T44" i="1"/>
  <c r="E45" i="1"/>
  <c r="F45" i="1" s="1"/>
  <c r="G45" i="1"/>
  <c r="K45" i="1"/>
  <c r="O45" i="1"/>
  <c r="Q45" i="1"/>
  <c r="R45" i="1" s="1"/>
  <c r="T45" i="1"/>
  <c r="F46" i="1"/>
  <c r="H46" i="1"/>
  <c r="O46" i="1"/>
  <c r="R46" i="1"/>
  <c r="T46" i="1"/>
  <c r="F47" i="1"/>
  <c r="H47" i="1" s="1"/>
  <c r="O47" i="1"/>
  <c r="R47" i="1"/>
  <c r="T47" i="1"/>
  <c r="F48" i="1"/>
  <c r="H48" i="1" s="1"/>
  <c r="O48" i="1"/>
  <c r="R48" i="1"/>
  <c r="T48" i="1"/>
  <c r="F49" i="1"/>
  <c r="H49" i="1" s="1"/>
  <c r="O49" i="1"/>
  <c r="R49" i="1"/>
  <c r="T49" i="1"/>
  <c r="F50" i="1"/>
  <c r="H50" i="1" s="1"/>
  <c r="O50" i="1"/>
  <c r="R50" i="1"/>
  <c r="T50" i="1"/>
  <c r="F51" i="1"/>
  <c r="H51" i="1" s="1"/>
  <c r="O51" i="1"/>
  <c r="R51" i="1"/>
  <c r="T51" i="1"/>
  <c r="F52" i="1"/>
  <c r="H52" i="1" s="1"/>
  <c r="O52" i="1"/>
  <c r="R52" i="1"/>
  <c r="T52" i="1"/>
  <c r="F53" i="1"/>
  <c r="H53" i="1"/>
  <c r="O53" i="1"/>
  <c r="R53" i="1"/>
  <c r="T53" i="1"/>
  <c r="F54" i="1"/>
  <c r="H54" i="1" s="1"/>
  <c r="O54" i="1"/>
  <c r="R54" i="1"/>
  <c r="T54" i="1"/>
  <c r="E55" i="1"/>
  <c r="F55" i="1" s="1"/>
  <c r="H55" i="1" s="1"/>
  <c r="G55" i="1"/>
  <c r="K55" i="1"/>
  <c r="O55" i="1"/>
  <c r="Q55" i="1"/>
  <c r="R55" i="1" s="1"/>
  <c r="T55" i="1"/>
  <c r="E56" i="1"/>
  <c r="F56" i="1" s="1"/>
  <c r="G56" i="1"/>
  <c r="K56" i="1"/>
  <c r="O56" i="1" s="1"/>
  <c r="Q56" i="1"/>
  <c r="R56" i="1" s="1"/>
  <c r="T56" i="1"/>
  <c r="E57" i="1"/>
  <c r="F57" i="1" s="1"/>
  <c r="G57" i="1"/>
  <c r="K57" i="1"/>
  <c r="O57" i="1" s="1"/>
  <c r="Q57" i="1"/>
  <c r="R57" i="1" s="1"/>
  <c r="T57" i="1"/>
  <c r="E58" i="1"/>
  <c r="F58" i="1" s="1"/>
  <c r="H58" i="1" s="1"/>
  <c r="G58" i="1"/>
  <c r="K58" i="1"/>
  <c r="O58" i="1" s="1"/>
  <c r="Q58" i="1"/>
  <c r="R58" i="1" s="1"/>
  <c r="T58" i="1"/>
  <c r="E59" i="1"/>
  <c r="F59" i="1" s="1"/>
  <c r="H59" i="1" s="1"/>
  <c r="G59" i="1"/>
  <c r="K59" i="1"/>
  <c r="O59" i="1" s="1"/>
  <c r="Q59" i="1"/>
  <c r="R59" i="1" s="1"/>
  <c r="T59" i="1"/>
  <c r="E60" i="1"/>
  <c r="F60" i="1" s="1"/>
  <c r="G60" i="1"/>
  <c r="K60" i="1"/>
  <c r="O60" i="1" s="1"/>
  <c r="Q60" i="1"/>
  <c r="R60" i="1" s="1"/>
  <c r="T60" i="1"/>
  <c r="E61" i="1"/>
  <c r="F61" i="1" s="1"/>
  <c r="G61" i="1"/>
  <c r="K61" i="1"/>
  <c r="O61" i="1" s="1"/>
  <c r="Q61" i="1"/>
  <c r="R61" i="1" s="1"/>
  <c r="T61" i="1"/>
  <c r="E62" i="1"/>
  <c r="F62" i="1" s="1"/>
  <c r="G62" i="1"/>
  <c r="K62" i="1"/>
  <c r="O62" i="1" s="1"/>
  <c r="Q62" i="1"/>
  <c r="R62" i="1" s="1"/>
  <c r="T62" i="1"/>
  <c r="E63" i="1"/>
  <c r="F63" i="1" s="1"/>
  <c r="G63" i="1"/>
  <c r="K63" i="1"/>
  <c r="O63" i="1"/>
  <c r="Q63" i="1"/>
  <c r="R63" i="1" s="1"/>
  <c r="T63" i="1"/>
  <c r="E64" i="1"/>
  <c r="F64" i="1" s="1"/>
  <c r="G64" i="1"/>
  <c r="K64" i="1"/>
  <c r="O64" i="1" s="1"/>
  <c r="Q64" i="1"/>
  <c r="R64" i="1" s="1"/>
  <c r="T64" i="1"/>
  <c r="E65" i="1"/>
  <c r="F65" i="1" s="1"/>
  <c r="G65" i="1"/>
  <c r="K65" i="1"/>
  <c r="O65" i="1"/>
  <c r="Q65" i="1"/>
  <c r="R65" i="1"/>
  <c r="T65" i="1"/>
  <c r="E66" i="1"/>
  <c r="F66" i="1" s="1"/>
  <c r="G66" i="1"/>
  <c r="K66" i="1"/>
  <c r="O66" i="1" s="1"/>
  <c r="Q66" i="1"/>
  <c r="R66" i="1" s="1"/>
  <c r="T66" i="1"/>
  <c r="F67" i="1"/>
  <c r="H67" i="1" s="1"/>
  <c r="O67" i="1"/>
  <c r="R67" i="1"/>
  <c r="T67" i="1"/>
  <c r="F68" i="1"/>
  <c r="H68" i="1" s="1"/>
  <c r="O68" i="1"/>
  <c r="R68" i="1"/>
  <c r="T68" i="1"/>
  <c r="F69" i="1"/>
  <c r="H69" i="1" s="1"/>
  <c r="O69" i="1"/>
  <c r="R69" i="1"/>
  <c r="T69" i="1"/>
  <c r="F70" i="1"/>
  <c r="H70" i="1"/>
  <c r="O70" i="1"/>
  <c r="R70" i="1"/>
  <c r="T70" i="1"/>
  <c r="F71" i="1"/>
  <c r="H71" i="1" s="1"/>
  <c r="O71" i="1"/>
  <c r="R71" i="1"/>
  <c r="T71" i="1"/>
  <c r="F72" i="1"/>
  <c r="H72" i="1" s="1"/>
  <c r="O72" i="1"/>
  <c r="R72" i="1"/>
  <c r="T72" i="1"/>
  <c r="F73" i="1"/>
  <c r="H73" i="1" s="1"/>
  <c r="O73" i="1"/>
  <c r="R73" i="1"/>
  <c r="T73" i="1"/>
  <c r="F74" i="1"/>
  <c r="H74" i="1" s="1"/>
  <c r="O74" i="1"/>
  <c r="R74" i="1"/>
  <c r="F75" i="1"/>
  <c r="H75" i="1"/>
  <c r="O75" i="1"/>
  <c r="R75" i="1"/>
  <c r="T75" i="1"/>
  <c r="F76" i="1"/>
  <c r="H76" i="1" s="1"/>
  <c r="O76" i="1"/>
  <c r="R76" i="1"/>
  <c r="T76" i="1"/>
  <c r="F77" i="1"/>
  <c r="H77" i="1" s="1"/>
  <c r="O77" i="1"/>
  <c r="R77" i="1"/>
  <c r="T77" i="1"/>
  <c r="F78" i="1"/>
  <c r="H78" i="1" s="1"/>
  <c r="O78" i="1"/>
  <c r="R78" i="1"/>
  <c r="T78" i="1"/>
  <c r="E79" i="1"/>
  <c r="F79" i="1"/>
  <c r="H79" i="1" s="1"/>
  <c r="G79" i="1"/>
  <c r="K79" i="1"/>
  <c r="O79" i="1" s="1"/>
  <c r="Q79" i="1"/>
  <c r="R79" i="1" s="1"/>
  <c r="T79" i="1"/>
  <c r="E80" i="1"/>
  <c r="F80" i="1" s="1"/>
  <c r="G80" i="1"/>
  <c r="K80" i="1"/>
  <c r="O80" i="1"/>
  <c r="Q80" i="1"/>
  <c r="R80" i="1"/>
  <c r="T80" i="1"/>
  <c r="E81" i="1"/>
  <c r="F81" i="1" s="1"/>
  <c r="G81" i="1"/>
  <c r="K81" i="1"/>
  <c r="O81" i="1" s="1"/>
  <c r="Q81" i="1"/>
  <c r="R81" i="1"/>
  <c r="T81" i="1"/>
  <c r="F82" i="1"/>
  <c r="H82" i="1"/>
  <c r="O82" i="1"/>
  <c r="R82" i="1"/>
  <c r="T82" i="1"/>
  <c r="F83" i="1"/>
  <c r="H83" i="1" s="1"/>
  <c r="O83" i="1"/>
  <c r="R83" i="1"/>
  <c r="T83" i="1"/>
  <c r="F84" i="1"/>
  <c r="H84" i="1"/>
  <c r="O84" i="1"/>
  <c r="R84" i="1"/>
  <c r="T84" i="1"/>
  <c r="E88" i="1"/>
  <c r="F88" i="1" s="1"/>
  <c r="G88" i="1"/>
  <c r="K88" i="1"/>
  <c r="O88" i="1" s="1"/>
  <c r="Q88" i="1"/>
  <c r="R88" i="1" s="1"/>
  <c r="T88" i="1"/>
  <c r="E89" i="1"/>
  <c r="F89" i="1" s="1"/>
  <c r="G89" i="1"/>
  <c r="K89" i="1"/>
  <c r="O89" i="1" s="1"/>
  <c r="Q89" i="1"/>
  <c r="R89" i="1" s="1"/>
  <c r="T89" i="1"/>
  <c r="E90" i="1"/>
  <c r="F90" i="1" s="1"/>
  <c r="G90" i="1"/>
  <c r="K90" i="1"/>
  <c r="O90" i="1"/>
  <c r="Q90" i="1"/>
  <c r="R90" i="1" s="1"/>
  <c r="T90" i="1"/>
  <c r="F94" i="1"/>
  <c r="H94" i="1" s="1"/>
  <c r="O94" i="1"/>
  <c r="R94" i="1"/>
  <c r="T94" i="1"/>
  <c r="F95" i="1"/>
  <c r="H95" i="1" s="1"/>
  <c r="O95" i="1"/>
  <c r="R95" i="1"/>
  <c r="T95" i="1"/>
  <c r="F96" i="1"/>
  <c r="H96" i="1" s="1"/>
  <c r="O96" i="1"/>
  <c r="R96" i="1"/>
  <c r="T96" i="1"/>
  <c r="F97" i="1"/>
  <c r="H97" i="1" s="1"/>
  <c r="O97" i="1"/>
  <c r="R97" i="1"/>
  <c r="T97" i="1"/>
  <c r="F98" i="1"/>
  <c r="H98" i="1" s="1"/>
  <c r="O98" i="1"/>
  <c r="R98" i="1"/>
  <c r="T98" i="1"/>
  <c r="F99" i="1"/>
  <c r="H99" i="1"/>
  <c r="O99" i="1"/>
  <c r="R99" i="1"/>
  <c r="T99" i="1"/>
  <c r="F100" i="1"/>
  <c r="H100" i="1"/>
  <c r="O100" i="1"/>
  <c r="R100" i="1"/>
  <c r="T100" i="1"/>
  <c r="F101" i="1"/>
  <c r="H101" i="1" s="1"/>
  <c r="O101" i="1"/>
  <c r="R101" i="1"/>
  <c r="T101" i="1"/>
  <c r="F102" i="1"/>
  <c r="H102" i="1" s="1"/>
  <c r="O102" i="1"/>
  <c r="R102" i="1"/>
  <c r="T102" i="1"/>
  <c r="E103" i="1"/>
  <c r="F103" i="1" s="1"/>
  <c r="G103" i="1"/>
  <c r="K103" i="1"/>
  <c r="O103" i="1" s="1"/>
  <c r="Q103" i="1"/>
  <c r="R103" i="1"/>
  <c r="T103" i="1"/>
  <c r="E104" i="1"/>
  <c r="F104" i="1" s="1"/>
  <c r="G104" i="1"/>
  <c r="K104" i="1"/>
  <c r="O104" i="1" s="1"/>
  <c r="Q104" i="1"/>
  <c r="R104" i="1" s="1"/>
  <c r="T104" i="1"/>
  <c r="E105" i="1"/>
  <c r="F105" i="1"/>
  <c r="H105" i="1" s="1"/>
  <c r="G105" i="1"/>
  <c r="K105" i="1"/>
  <c r="O105" i="1"/>
  <c r="Q105" i="1"/>
  <c r="R105" i="1" s="1"/>
  <c r="T105" i="1"/>
  <c r="F106" i="1"/>
  <c r="H106" i="1" s="1"/>
  <c r="O106" i="1"/>
  <c r="R106" i="1"/>
  <c r="T106" i="1"/>
  <c r="F107" i="1"/>
  <c r="H107" i="1"/>
  <c r="O107" i="1"/>
  <c r="R107" i="1"/>
  <c r="T107" i="1"/>
  <c r="F108" i="1"/>
  <c r="H108" i="1" s="1"/>
  <c r="O108" i="1"/>
  <c r="R108" i="1"/>
  <c r="T108" i="1"/>
  <c r="F109" i="1"/>
  <c r="H109" i="1"/>
  <c r="O109" i="1"/>
  <c r="R109" i="1"/>
  <c r="T109" i="1"/>
  <c r="F110" i="1"/>
  <c r="H110" i="1" s="1"/>
  <c r="O110" i="1"/>
  <c r="R110" i="1"/>
  <c r="T110" i="1"/>
  <c r="F111" i="1"/>
  <c r="H111" i="1" s="1"/>
  <c r="O111" i="1"/>
  <c r="R111" i="1"/>
  <c r="T111" i="1"/>
  <c r="F112" i="1"/>
  <c r="H112" i="1" s="1"/>
  <c r="O112" i="1"/>
  <c r="R112" i="1"/>
  <c r="T112" i="1"/>
  <c r="F113" i="1"/>
  <c r="H113" i="1" s="1"/>
  <c r="O113" i="1"/>
  <c r="R113" i="1"/>
  <c r="T113" i="1"/>
  <c r="F114" i="1"/>
  <c r="H114" i="1" s="1"/>
  <c r="O114" i="1"/>
  <c r="R114" i="1"/>
  <c r="T114" i="1"/>
  <c r="E115" i="1"/>
  <c r="F115" i="1" s="1"/>
  <c r="G115" i="1"/>
  <c r="K115" i="1"/>
  <c r="O115" i="1" s="1"/>
  <c r="Q115" i="1"/>
  <c r="R115" i="1"/>
  <c r="T115" i="1"/>
  <c r="E116" i="1"/>
  <c r="F116" i="1" s="1"/>
  <c r="G116" i="1"/>
  <c r="K116" i="1"/>
  <c r="O116" i="1" s="1"/>
  <c r="Q116" i="1"/>
  <c r="R116" i="1" s="1"/>
  <c r="T116" i="1"/>
  <c r="E117" i="1"/>
  <c r="F117" i="1" s="1"/>
  <c r="H117" i="1" s="1"/>
  <c r="G117" i="1"/>
  <c r="K117" i="1"/>
  <c r="O117" i="1" s="1"/>
  <c r="Q117" i="1"/>
  <c r="R117" i="1" s="1"/>
  <c r="T117" i="1"/>
  <c r="E118" i="1"/>
  <c r="F118" i="1" s="1"/>
  <c r="G118" i="1"/>
  <c r="K118" i="1"/>
  <c r="O118" i="1" s="1"/>
  <c r="Q118" i="1"/>
  <c r="R118" i="1"/>
  <c r="T118" i="1"/>
  <c r="E119" i="1"/>
  <c r="F119" i="1" s="1"/>
  <c r="G119" i="1"/>
  <c r="K119" i="1"/>
  <c r="O119" i="1" s="1"/>
  <c r="Q119" i="1"/>
  <c r="R119" i="1" s="1"/>
  <c r="T119" i="1"/>
  <c r="E120" i="1"/>
  <c r="F120" i="1" s="1"/>
  <c r="G120" i="1"/>
  <c r="K120" i="1"/>
  <c r="O120" i="1" s="1"/>
  <c r="Q120" i="1"/>
  <c r="R120" i="1" s="1"/>
  <c r="T120" i="1"/>
  <c r="E121" i="1"/>
  <c r="F121" i="1"/>
  <c r="G121" i="1"/>
  <c r="K121" i="1"/>
  <c r="O121" i="1" s="1"/>
  <c r="Q121" i="1"/>
  <c r="R121" i="1" s="1"/>
  <c r="T121" i="1"/>
  <c r="E122" i="1"/>
  <c r="F122" i="1" s="1"/>
  <c r="G122" i="1"/>
  <c r="K122" i="1"/>
  <c r="O122" i="1" s="1"/>
  <c r="Q122" i="1"/>
  <c r="R122" i="1" s="1"/>
  <c r="T122" i="1"/>
  <c r="E123" i="1"/>
  <c r="F123" i="1" s="1"/>
  <c r="G123" i="1"/>
  <c r="K123" i="1"/>
  <c r="O123" i="1" s="1"/>
  <c r="Q123" i="1"/>
  <c r="R123" i="1" s="1"/>
  <c r="T123" i="1"/>
  <c r="E124" i="1"/>
  <c r="F124" i="1"/>
  <c r="G124" i="1"/>
  <c r="K124" i="1"/>
  <c r="O124" i="1" s="1"/>
  <c r="Q124" i="1"/>
  <c r="R124" i="1" s="1"/>
  <c r="T124" i="1"/>
  <c r="E125" i="1"/>
  <c r="F125" i="1" s="1"/>
  <c r="G125" i="1"/>
  <c r="K125" i="1"/>
  <c r="O125" i="1" s="1"/>
  <c r="Q125" i="1"/>
  <c r="R125" i="1" s="1"/>
  <c r="T125" i="1"/>
  <c r="E126" i="1"/>
  <c r="F126" i="1" s="1"/>
  <c r="G126" i="1"/>
  <c r="K126" i="1"/>
  <c r="O126" i="1" s="1"/>
  <c r="Q126" i="1"/>
  <c r="R126" i="1" s="1"/>
  <c r="T126" i="1"/>
  <c r="F133" i="1"/>
  <c r="H133" i="1" s="1"/>
  <c r="O133" i="1"/>
  <c r="R133" i="1"/>
  <c r="T133" i="1"/>
  <c r="F134" i="1"/>
  <c r="H134" i="1" s="1"/>
  <c r="O134" i="1"/>
  <c r="R134" i="1"/>
  <c r="T134" i="1"/>
  <c r="F135" i="1"/>
  <c r="H135" i="1" s="1"/>
  <c r="O135" i="1"/>
  <c r="R135" i="1"/>
  <c r="T135" i="1"/>
  <c r="F136" i="1"/>
  <c r="H136" i="1" s="1"/>
  <c r="O136" i="1"/>
  <c r="R136" i="1"/>
  <c r="T136" i="1"/>
  <c r="F137" i="1"/>
  <c r="H137" i="1"/>
  <c r="O137" i="1"/>
  <c r="R137" i="1"/>
  <c r="T137" i="1"/>
  <c r="F138" i="1"/>
  <c r="H138" i="1" s="1"/>
  <c r="O138" i="1"/>
  <c r="R138" i="1"/>
  <c r="T138" i="1"/>
  <c r="F139" i="1"/>
  <c r="H139" i="1"/>
  <c r="O139" i="1"/>
  <c r="R139" i="1"/>
  <c r="T139" i="1"/>
  <c r="F140" i="1"/>
  <c r="H140" i="1" s="1"/>
  <c r="O140" i="1"/>
  <c r="R140" i="1"/>
  <c r="T140" i="1"/>
  <c r="F141" i="1"/>
  <c r="H141" i="1" s="1"/>
  <c r="O141" i="1"/>
  <c r="R141" i="1"/>
  <c r="T141" i="1"/>
  <c r="E142" i="1"/>
  <c r="F142" i="1"/>
  <c r="G142" i="1"/>
  <c r="K142" i="1"/>
  <c r="O142" i="1" s="1"/>
  <c r="Q142" i="1"/>
  <c r="R142" i="1" s="1"/>
  <c r="T142" i="1"/>
  <c r="E143" i="1"/>
  <c r="F143" i="1" s="1"/>
  <c r="G143" i="1"/>
  <c r="K143" i="1"/>
  <c r="O143" i="1" s="1"/>
  <c r="Q143" i="1"/>
  <c r="R143" i="1" s="1"/>
  <c r="T143" i="1"/>
  <c r="E144" i="1"/>
  <c r="F144" i="1" s="1"/>
  <c r="G144" i="1"/>
  <c r="K144" i="1"/>
  <c r="O144" i="1" s="1"/>
  <c r="Q144" i="1"/>
  <c r="R144" i="1" s="1"/>
  <c r="T144" i="1"/>
  <c r="F147" i="1"/>
  <c r="H147" i="1" s="1"/>
  <c r="O147" i="1"/>
  <c r="R147" i="1"/>
  <c r="T147" i="1"/>
  <c r="F148" i="1"/>
  <c r="H148" i="1"/>
  <c r="O148" i="1"/>
  <c r="R148" i="1"/>
  <c r="T148" i="1"/>
  <c r="F149" i="1"/>
  <c r="H149" i="1" s="1"/>
  <c r="O149" i="1"/>
  <c r="R149" i="1"/>
  <c r="T149" i="1"/>
  <c r="F150" i="1"/>
  <c r="H150" i="1" s="1"/>
  <c r="O150" i="1"/>
  <c r="R150" i="1"/>
  <c r="T150" i="1"/>
  <c r="F151" i="1"/>
  <c r="H151" i="1" s="1"/>
  <c r="O151" i="1"/>
  <c r="R151" i="1"/>
  <c r="T151" i="1"/>
  <c r="F152" i="1"/>
  <c r="H152" i="1" s="1"/>
  <c r="O152" i="1"/>
  <c r="R152" i="1"/>
  <c r="T152" i="1"/>
  <c r="F153" i="1"/>
  <c r="H153" i="1" s="1"/>
  <c r="O153" i="1"/>
  <c r="R153" i="1"/>
  <c r="T153" i="1"/>
  <c r="F154" i="1"/>
  <c r="H154" i="1" s="1"/>
  <c r="O154" i="1"/>
  <c r="R154" i="1"/>
  <c r="T154" i="1"/>
  <c r="F155" i="1"/>
  <c r="H155" i="1" s="1"/>
  <c r="O155" i="1"/>
  <c r="R155" i="1"/>
  <c r="T155" i="1"/>
  <c r="F156" i="1"/>
  <c r="H156" i="1" s="1"/>
  <c r="O156" i="1"/>
  <c r="R156" i="1"/>
  <c r="T156" i="1"/>
  <c r="F157" i="1"/>
  <c r="H157" i="1" s="1"/>
  <c r="O157" i="1"/>
  <c r="R157" i="1"/>
  <c r="T157" i="1"/>
  <c r="F158" i="1"/>
  <c r="H158" i="1"/>
  <c r="O158" i="1"/>
  <c r="R158" i="1"/>
  <c r="T158" i="1"/>
  <c r="F159" i="1"/>
  <c r="H159" i="1" s="1"/>
  <c r="O159" i="1"/>
  <c r="R159" i="1"/>
  <c r="T159" i="1"/>
  <c r="F160" i="1"/>
  <c r="H160" i="1" s="1"/>
  <c r="O160" i="1"/>
  <c r="R160" i="1"/>
  <c r="T160" i="1"/>
  <c r="F161" i="1"/>
  <c r="H161" i="1" s="1"/>
  <c r="O161" i="1"/>
  <c r="R161" i="1"/>
  <c r="T161" i="1"/>
  <c r="F162" i="1"/>
  <c r="H162" i="1" s="1"/>
  <c r="O162" i="1"/>
  <c r="R162" i="1"/>
  <c r="T162" i="1"/>
  <c r="F163" i="1"/>
  <c r="H163" i="1"/>
  <c r="O163" i="1"/>
  <c r="R163" i="1"/>
  <c r="T163" i="1"/>
  <c r="F164" i="1"/>
  <c r="H164" i="1" s="1"/>
  <c r="O164" i="1"/>
  <c r="R164" i="1"/>
  <c r="T164" i="1"/>
  <c r="F165" i="1"/>
  <c r="H165" i="1" s="1"/>
  <c r="O165" i="1"/>
  <c r="R165" i="1"/>
  <c r="T165" i="1"/>
  <c r="F166" i="1"/>
  <c r="H166" i="1" s="1"/>
  <c r="O166" i="1"/>
  <c r="R166" i="1"/>
  <c r="T166" i="1"/>
  <c r="F167" i="1"/>
  <c r="H167" i="1" s="1"/>
  <c r="O167" i="1"/>
  <c r="R167" i="1"/>
  <c r="T167" i="1"/>
  <c r="F168" i="1"/>
  <c r="H168" i="1"/>
  <c r="O168" i="1"/>
  <c r="R168" i="1"/>
  <c r="T168" i="1"/>
  <c r="F169" i="1"/>
  <c r="H169" i="1" s="1"/>
  <c r="O169" i="1"/>
  <c r="R169" i="1"/>
  <c r="T169" i="1"/>
  <c r="F170" i="1"/>
  <c r="H170" i="1" s="1"/>
  <c r="O170" i="1"/>
  <c r="R170" i="1"/>
  <c r="T170" i="1"/>
  <c r="F171" i="1"/>
  <c r="H171" i="1" s="1"/>
  <c r="O171" i="1"/>
  <c r="R171" i="1"/>
  <c r="T171" i="1"/>
  <c r="F172" i="1"/>
  <c r="H172" i="1"/>
  <c r="O172" i="1"/>
  <c r="R172" i="1"/>
  <c r="T172" i="1"/>
  <c r="F173" i="1"/>
  <c r="H173" i="1"/>
  <c r="O173" i="1"/>
  <c r="R173" i="1"/>
  <c r="T173" i="1"/>
  <c r="F174" i="1"/>
  <c r="H174" i="1" s="1"/>
  <c r="O174" i="1"/>
  <c r="R174" i="1"/>
  <c r="T174" i="1"/>
  <c r="F175" i="1"/>
  <c r="H175" i="1" s="1"/>
  <c r="O175" i="1"/>
  <c r="R175" i="1"/>
  <c r="T175" i="1"/>
  <c r="F176" i="1"/>
  <c r="H176" i="1" s="1"/>
  <c r="O176" i="1"/>
  <c r="R176" i="1"/>
  <c r="T176" i="1"/>
  <c r="F177" i="1"/>
  <c r="H177" i="1"/>
  <c r="O177" i="1"/>
  <c r="R177" i="1"/>
  <c r="T177" i="1"/>
  <c r="F178" i="1"/>
  <c r="H178" i="1" s="1"/>
  <c r="O178" i="1"/>
  <c r="R178" i="1"/>
  <c r="T178" i="1"/>
  <c r="F179" i="1"/>
  <c r="H179" i="1"/>
  <c r="O179" i="1"/>
  <c r="R179" i="1"/>
  <c r="T179" i="1"/>
  <c r="F180" i="1"/>
  <c r="H180" i="1" s="1"/>
  <c r="O180" i="1"/>
  <c r="R180" i="1"/>
  <c r="T180" i="1"/>
  <c r="F181" i="1"/>
  <c r="H181" i="1" s="1"/>
  <c r="O181" i="1"/>
  <c r="R181" i="1"/>
  <c r="T181" i="1"/>
  <c r="F182" i="1"/>
  <c r="H182" i="1"/>
  <c r="O182" i="1"/>
  <c r="R182" i="1"/>
  <c r="T182" i="1"/>
  <c r="F183" i="1"/>
  <c r="H183" i="1" s="1"/>
  <c r="O183" i="1"/>
  <c r="R183" i="1"/>
  <c r="T183" i="1"/>
  <c r="F184" i="1"/>
  <c r="H184" i="1"/>
  <c r="O184" i="1"/>
  <c r="R184" i="1"/>
  <c r="T184" i="1"/>
  <c r="F185" i="1"/>
  <c r="H185" i="1"/>
  <c r="O185" i="1"/>
  <c r="R185" i="1"/>
  <c r="T185" i="1"/>
  <c r="F186" i="1"/>
  <c r="H186" i="1" s="1"/>
  <c r="O186" i="1"/>
  <c r="R186" i="1"/>
  <c r="T186" i="1"/>
  <c r="F187" i="1"/>
  <c r="H187" i="1"/>
  <c r="O187" i="1"/>
  <c r="R187" i="1"/>
  <c r="T187" i="1"/>
  <c r="F188" i="1"/>
  <c r="H188" i="1" s="1"/>
  <c r="O188" i="1"/>
  <c r="R188" i="1"/>
  <c r="T188" i="1"/>
  <c r="F189" i="1"/>
  <c r="H189" i="1" s="1"/>
  <c r="O189" i="1"/>
  <c r="R189" i="1"/>
  <c r="T189" i="1"/>
  <c r="F190" i="1"/>
  <c r="H190" i="1" s="1"/>
  <c r="O190" i="1"/>
  <c r="R190" i="1"/>
  <c r="T190" i="1"/>
  <c r="F191" i="1"/>
  <c r="H191" i="1" s="1"/>
  <c r="O191" i="1"/>
  <c r="R191" i="1"/>
  <c r="T191" i="1"/>
  <c r="F195" i="1"/>
  <c r="H195" i="1"/>
  <c r="O195" i="1"/>
  <c r="R195" i="1"/>
  <c r="T195" i="1"/>
  <c r="F196" i="1"/>
  <c r="H196" i="1" s="1"/>
  <c r="O196" i="1"/>
  <c r="R196" i="1"/>
  <c r="T196" i="1"/>
  <c r="F197" i="1"/>
  <c r="H197" i="1" s="1"/>
  <c r="O197" i="1"/>
  <c r="R197" i="1"/>
  <c r="T197" i="1"/>
  <c r="F198" i="1"/>
  <c r="H198" i="1" s="1"/>
  <c r="O198" i="1"/>
  <c r="R198" i="1"/>
  <c r="T198" i="1"/>
  <c r="F199" i="1"/>
  <c r="H199" i="1" s="1"/>
  <c r="O199" i="1"/>
  <c r="R199" i="1"/>
  <c r="T199" i="1"/>
  <c r="F200" i="1"/>
  <c r="H200" i="1" s="1"/>
  <c r="O200" i="1"/>
  <c r="R200" i="1"/>
  <c r="T200" i="1"/>
  <c r="F201" i="1"/>
  <c r="H201" i="1" s="1"/>
  <c r="O201" i="1"/>
  <c r="R201" i="1"/>
  <c r="T201" i="1"/>
  <c r="F202" i="1"/>
  <c r="H202" i="1" s="1"/>
  <c r="O202" i="1"/>
  <c r="R202" i="1"/>
  <c r="F203" i="1"/>
  <c r="H203" i="1" s="1"/>
  <c r="O203" i="1"/>
  <c r="R203" i="1"/>
  <c r="T203" i="1"/>
  <c r="F204" i="1"/>
  <c r="H204" i="1" s="1"/>
  <c r="O204" i="1"/>
  <c r="R204" i="1"/>
  <c r="T204" i="1"/>
  <c r="F205" i="1"/>
  <c r="H205" i="1" s="1"/>
  <c r="O205" i="1"/>
  <c r="R205" i="1"/>
  <c r="T205" i="1"/>
  <c r="F206" i="1"/>
  <c r="H206" i="1" s="1"/>
  <c r="O206" i="1"/>
  <c r="R206" i="1"/>
  <c r="F207" i="1"/>
  <c r="H207" i="1" s="1"/>
  <c r="O207" i="1"/>
  <c r="R207" i="1"/>
  <c r="T207" i="1"/>
  <c r="F208" i="1"/>
  <c r="H208" i="1" s="1"/>
  <c r="O208" i="1"/>
  <c r="R208" i="1"/>
  <c r="T208" i="1"/>
  <c r="F209" i="1"/>
  <c r="H209" i="1" s="1"/>
  <c r="O209" i="1"/>
  <c r="R209" i="1"/>
  <c r="T209" i="1"/>
  <c r="F210" i="1"/>
  <c r="H210" i="1" s="1"/>
  <c r="O210" i="1"/>
  <c r="R210" i="1"/>
  <c r="T210" i="1"/>
  <c r="F211" i="1"/>
  <c r="H211" i="1" s="1"/>
  <c r="O211" i="1"/>
  <c r="R211" i="1"/>
  <c r="T211" i="1"/>
  <c r="F212" i="1"/>
  <c r="H212" i="1" s="1"/>
  <c r="O212" i="1"/>
  <c r="R212" i="1"/>
  <c r="T212" i="1"/>
  <c r="F213" i="1"/>
  <c r="H213" i="1" s="1"/>
  <c r="O213" i="1"/>
  <c r="R213" i="1"/>
  <c r="T213" i="1"/>
  <c r="F214" i="1"/>
  <c r="H214" i="1"/>
  <c r="O214" i="1"/>
  <c r="R214" i="1"/>
  <c r="T214" i="1"/>
  <c r="F215" i="1"/>
  <c r="H215" i="1" s="1"/>
  <c r="O215" i="1"/>
  <c r="R215" i="1"/>
  <c r="T215" i="1"/>
  <c r="F218" i="1"/>
  <c r="H218" i="1"/>
  <c r="O218" i="1"/>
  <c r="R218" i="1"/>
  <c r="T218" i="1"/>
  <c r="F219" i="1"/>
  <c r="H219" i="1" s="1"/>
  <c r="O219" i="1"/>
  <c r="R219" i="1"/>
  <c r="T219" i="1"/>
  <c r="F220" i="1"/>
  <c r="H220" i="1"/>
  <c r="O220" i="1"/>
  <c r="R220" i="1"/>
  <c r="T220" i="1"/>
  <c r="BL223" i="3"/>
  <c r="BL224" i="3" s="1"/>
  <c r="BK223" i="3"/>
  <c r="BK224" i="3" s="1"/>
  <c r="BJ223" i="3"/>
  <c r="BJ224" i="3" s="1"/>
  <c r="BI223" i="3"/>
  <c r="BI224" i="3" s="1"/>
  <c r="BH223" i="3"/>
  <c r="BH224" i="3" s="1"/>
  <c r="BG223" i="3"/>
  <c r="BG224" i="3" s="1"/>
  <c r="BF223" i="3"/>
  <c r="BF224" i="3" s="1"/>
  <c r="BE223" i="3"/>
  <c r="BE224" i="3" s="1"/>
  <c r="BD223" i="3"/>
  <c r="BD224" i="3" s="1"/>
  <c r="BC223" i="3"/>
  <c r="BC224" i="3" s="1"/>
  <c r="BB223" i="3"/>
  <c r="BB224" i="3" s="1"/>
  <c r="BA223" i="3"/>
  <c r="BA224" i="3" s="1"/>
  <c r="H60" i="10" l="1"/>
  <c r="H116" i="10"/>
  <c r="H96" i="10"/>
  <c r="H112" i="10"/>
  <c r="H114" i="10"/>
  <c r="H23" i="10"/>
  <c r="H59" i="10"/>
  <c r="H78" i="10"/>
  <c r="H117" i="10"/>
  <c r="H113" i="10"/>
  <c r="H115" i="10"/>
  <c r="H109" i="10"/>
  <c r="H110" i="10"/>
  <c r="H108" i="10"/>
  <c r="H24" i="10"/>
  <c r="H84" i="10"/>
  <c r="H97" i="10"/>
  <c r="H25" i="10"/>
  <c r="H36" i="10"/>
  <c r="H57" i="10"/>
  <c r="H64" i="10"/>
  <c r="H83" i="10"/>
  <c r="H85" i="10"/>
  <c r="H56" i="10"/>
  <c r="H58" i="10"/>
  <c r="H37" i="10"/>
  <c r="H35" i="10"/>
  <c r="H42" i="10"/>
  <c r="H61" i="10"/>
  <c r="H63" i="10"/>
  <c r="H107" i="10"/>
  <c r="H128" i="10"/>
  <c r="H130" i="10"/>
  <c r="H53" i="10"/>
  <c r="H55" i="10"/>
  <c r="H77" i="10"/>
  <c r="H79" i="10"/>
  <c r="H118" i="10"/>
  <c r="H41" i="10"/>
  <c r="H43" i="10"/>
  <c r="H62" i="10"/>
  <c r="H95" i="10"/>
  <c r="H129" i="10"/>
  <c r="H121" i="1"/>
  <c r="H125" i="1"/>
  <c r="H39" i="1"/>
  <c r="H103" i="1"/>
  <c r="H120" i="1"/>
  <c r="H118" i="1"/>
  <c r="H37" i="1"/>
  <c r="H25" i="1"/>
  <c r="H43" i="1"/>
  <c r="H56" i="1"/>
  <c r="H143" i="1"/>
  <c r="H90" i="1"/>
  <c r="H115" i="1"/>
  <c r="H65" i="1"/>
  <c r="H63" i="1"/>
  <c r="H123" i="1"/>
  <c r="H116" i="1"/>
  <c r="H61" i="1"/>
  <c r="H144" i="1"/>
  <c r="H142" i="1"/>
  <c r="H104" i="1"/>
  <c r="H26" i="1"/>
  <c r="H64" i="1"/>
  <c r="H124" i="1"/>
  <c r="H122" i="1"/>
  <c r="H60" i="1"/>
  <c r="H45" i="1"/>
  <c r="H88" i="1"/>
  <c r="H126" i="1"/>
  <c r="H62" i="1"/>
  <c r="H66" i="1"/>
  <c r="H38" i="1"/>
  <c r="H44" i="1"/>
  <c r="H119" i="1"/>
  <c r="H89" i="1"/>
  <c r="H80" i="1"/>
  <c r="H57" i="1"/>
  <c r="H81" i="1"/>
  <c r="BL111" i="3"/>
  <c r="BK111" i="3"/>
  <c r="BJ111" i="3"/>
  <c r="BJ112" i="3" s="1"/>
  <c r="BI111" i="3"/>
  <c r="BH111" i="3"/>
  <c r="BG111" i="3"/>
  <c r="BG112" i="3" s="1"/>
  <c r="BF111" i="3"/>
  <c r="BF112" i="3" s="1"/>
  <c r="BE111" i="3"/>
  <c r="BE112" i="3" s="1"/>
  <c r="BL112" i="3"/>
  <c r="BK112" i="3"/>
  <c r="BI112" i="3"/>
  <c r="BH112" i="3"/>
  <c r="BD111" i="3"/>
  <c r="BD112" i="3" s="1"/>
  <c r="BC111" i="3"/>
  <c r="BC112" i="3" s="1"/>
  <c r="BB111" i="3"/>
  <c r="BB112" i="3" s="1"/>
  <c r="BA111" i="3"/>
  <c r="BA112" i="3" s="1"/>
  <c r="AG169" i="3"/>
  <c r="AG170" i="3" s="1"/>
  <c r="AF169" i="3"/>
  <c r="AF170" i="3" s="1"/>
  <c r="AE169" i="3"/>
  <c r="AE170" i="3" s="1"/>
  <c r="AD169" i="3"/>
  <c r="AD170" i="3" s="1"/>
  <c r="AC169" i="3"/>
  <c r="AC170" i="3" s="1"/>
  <c r="AB169" i="3"/>
  <c r="AB170" i="3" s="1"/>
  <c r="AA169" i="3"/>
  <c r="AA170" i="3" s="1"/>
  <c r="Z169" i="3"/>
  <c r="Z170" i="3" s="1"/>
  <c r="Y169" i="3"/>
  <c r="Y170" i="3" s="1"/>
  <c r="X169" i="3"/>
  <c r="X170" i="3" s="1"/>
  <c r="W169" i="3"/>
  <c r="W170" i="3" s="1"/>
  <c r="V169" i="3"/>
  <c r="V170" i="3" s="1"/>
  <c r="BL196" i="3"/>
  <c r="BL197" i="3" s="1"/>
  <c r="BK196" i="3"/>
  <c r="BK197" i="3" s="1"/>
  <c r="BJ196" i="3"/>
  <c r="BJ197" i="3" s="1"/>
  <c r="BI196" i="3"/>
  <c r="BI197" i="3" s="1"/>
  <c r="BH196" i="3"/>
  <c r="BH197" i="3" s="1"/>
  <c r="BG196" i="3"/>
  <c r="BG197" i="3" s="1"/>
  <c r="BF196" i="3"/>
  <c r="BF197" i="3" s="1"/>
  <c r="BE196" i="3"/>
  <c r="BE197" i="3" s="1"/>
  <c r="BD196" i="3"/>
  <c r="BD197" i="3" s="1"/>
  <c r="BC196" i="3"/>
  <c r="BC197" i="3" s="1"/>
  <c r="BB196" i="3"/>
  <c r="BB197" i="3" s="1"/>
  <c r="BA196" i="3"/>
  <c r="BA197" i="3" s="1"/>
  <c r="BL168" i="3"/>
  <c r="BL169" i="3" s="1"/>
  <c r="BK168" i="3"/>
  <c r="BK169" i="3" s="1"/>
  <c r="BJ168" i="3"/>
  <c r="BJ169" i="3" s="1"/>
  <c r="BI168" i="3"/>
  <c r="BI169" i="3" s="1"/>
  <c r="BH168" i="3"/>
  <c r="BH169" i="3" s="1"/>
  <c r="BG168" i="3"/>
  <c r="BG169" i="3" s="1"/>
  <c r="BF168" i="3"/>
  <c r="BF169" i="3" s="1"/>
  <c r="BE168" i="3"/>
  <c r="BE169" i="3" s="1"/>
  <c r="BD168" i="3"/>
  <c r="BD169" i="3" s="1"/>
  <c r="BC168" i="3"/>
  <c r="BC169" i="3" s="1"/>
  <c r="BB168" i="3"/>
  <c r="BB169" i="3" s="1"/>
  <c r="BA168" i="3"/>
  <c r="BA169" i="3" s="1"/>
  <c r="BL140" i="3"/>
  <c r="BL141" i="3" s="1"/>
  <c r="BK140" i="3"/>
  <c r="BK141" i="3" s="1"/>
  <c r="BJ140" i="3"/>
  <c r="BJ141" i="3" s="1"/>
  <c r="BI140" i="3"/>
  <c r="BI141" i="3" s="1"/>
  <c r="BH140" i="3"/>
  <c r="BH141" i="3" s="1"/>
  <c r="BG140" i="3"/>
  <c r="BG141" i="3" s="1"/>
  <c r="BF140" i="3"/>
  <c r="BF141" i="3" s="1"/>
  <c r="BE140" i="3"/>
  <c r="BE141" i="3" s="1"/>
  <c r="BD140" i="3"/>
  <c r="BD141" i="3" s="1"/>
  <c r="BC140" i="3"/>
  <c r="BC141" i="3" s="1"/>
  <c r="BB140" i="3"/>
  <c r="BB141" i="3" s="1"/>
  <c r="BA140" i="3"/>
  <c r="BA141" i="3" s="1"/>
  <c r="BL84" i="3"/>
  <c r="BL85" i="3" s="1"/>
  <c r="BK84" i="3"/>
  <c r="BK85" i="3" s="1"/>
  <c r="BJ84" i="3"/>
  <c r="BJ85" i="3" s="1"/>
  <c r="BI84" i="3"/>
  <c r="BI85" i="3" s="1"/>
  <c r="BH84" i="3"/>
  <c r="BH85" i="3" s="1"/>
  <c r="BG84" i="3"/>
  <c r="BG85" i="3" s="1"/>
  <c r="BF84" i="3"/>
  <c r="BF85" i="3" s="1"/>
  <c r="BE84" i="3"/>
  <c r="BE85" i="3" s="1"/>
  <c r="BD84" i="3"/>
  <c r="BD85" i="3" s="1"/>
  <c r="BC84" i="3"/>
  <c r="BC85" i="3" s="1"/>
  <c r="BB84" i="3"/>
  <c r="BB85" i="3" s="1"/>
  <c r="BA84" i="3"/>
  <c r="BA85" i="3" s="1"/>
  <c r="BD57" i="3"/>
  <c r="BE57" i="3"/>
  <c r="BD58" i="3"/>
  <c r="BL57" i="3"/>
  <c r="BL58" i="3" s="1"/>
  <c r="BK57" i="3"/>
  <c r="BK58" i="3" s="1"/>
  <c r="BJ57" i="3"/>
  <c r="BJ58" i="3" s="1"/>
  <c r="BI57" i="3"/>
  <c r="BI58" i="3" s="1"/>
  <c r="BH57" i="3"/>
  <c r="BH58" i="3" s="1"/>
  <c r="BG57" i="3"/>
  <c r="BG58" i="3" s="1"/>
  <c r="BF57" i="3"/>
  <c r="BF58" i="3" s="1"/>
  <c r="BE58" i="3"/>
  <c r="BC57" i="3"/>
  <c r="BC58" i="3" s="1"/>
  <c r="BB57" i="3"/>
  <c r="BB58" i="3" s="1"/>
  <c r="BA57" i="3"/>
  <c r="BA58" i="3" s="1"/>
  <c r="BL30" i="3"/>
  <c r="BL31" i="3" s="1"/>
  <c r="BK30" i="3"/>
  <c r="BK31" i="3" s="1"/>
  <c r="BJ30" i="3"/>
  <c r="BJ31" i="3" s="1"/>
  <c r="BI30" i="3"/>
  <c r="BI31" i="3" s="1"/>
  <c r="BH30" i="3"/>
  <c r="BH31" i="3" s="1"/>
  <c r="BG30" i="3"/>
  <c r="BG31" i="3" s="1"/>
  <c r="BF30" i="3"/>
  <c r="BF31" i="3" s="1"/>
  <c r="BE30" i="3"/>
  <c r="BE31" i="3" s="1"/>
  <c r="BD30" i="3"/>
  <c r="BD31" i="3" s="1"/>
  <c r="BC30" i="3"/>
  <c r="BC31" i="3" s="1"/>
  <c r="BB30" i="3"/>
  <c r="BB31" i="3" s="1"/>
  <c r="BA30" i="3"/>
  <c r="BA31" i="3" s="1"/>
  <c r="AW113" i="3"/>
  <c r="AW114" i="3" s="1"/>
  <c r="AV113" i="3"/>
  <c r="AV114" i="3" s="1"/>
  <c r="AU113" i="3"/>
  <c r="AU114" i="3" s="1"/>
  <c r="AT113" i="3"/>
  <c r="AT114" i="3" s="1"/>
  <c r="AS113" i="3"/>
  <c r="AS114" i="3" s="1"/>
  <c r="AR113" i="3"/>
  <c r="AR114" i="3" s="1"/>
  <c r="AQ113" i="3"/>
  <c r="AQ114" i="3" s="1"/>
  <c r="AP113" i="3"/>
  <c r="AP114" i="3" s="1"/>
  <c r="AO113" i="3"/>
  <c r="AO114" i="3" s="1"/>
  <c r="AN113" i="3"/>
  <c r="AN114" i="3" s="1"/>
  <c r="AM113" i="3"/>
  <c r="AM114" i="3" s="1"/>
  <c r="AL113" i="3"/>
  <c r="AL114" i="3" s="1"/>
  <c r="AL86" i="3"/>
  <c r="AM86" i="3"/>
  <c r="AN86" i="3"/>
  <c r="AO86" i="3"/>
  <c r="AO87" i="3" s="1"/>
  <c r="AP86" i="3"/>
  <c r="AP87" i="3" s="1"/>
  <c r="AQ86" i="3"/>
  <c r="AQ87" i="3" s="1"/>
  <c r="AR86" i="3"/>
  <c r="AR87" i="3" s="1"/>
  <c r="AS86" i="3"/>
  <c r="AS87" i="3" s="1"/>
  <c r="AT86" i="3"/>
  <c r="AT87" i="3" s="1"/>
  <c r="AU86" i="3"/>
  <c r="AU87" i="3" s="1"/>
  <c r="AV86" i="3"/>
  <c r="AV87" i="3" s="1"/>
  <c r="AW86" i="3"/>
  <c r="AW87" i="3" s="1"/>
  <c r="AL87" i="3"/>
  <c r="AM87" i="3"/>
  <c r="AN87" i="3"/>
  <c r="AW57" i="3"/>
  <c r="AW58" i="3" s="1"/>
  <c r="AV57" i="3"/>
  <c r="AV58" i="3" s="1"/>
  <c r="AU57" i="3"/>
  <c r="AU58" i="3" s="1"/>
  <c r="AT57" i="3"/>
  <c r="AT58" i="3" s="1"/>
  <c r="AS57" i="3"/>
  <c r="AS58" i="3" s="1"/>
  <c r="AR57" i="3"/>
  <c r="AR58" i="3" s="1"/>
  <c r="AQ57" i="3"/>
  <c r="AQ58" i="3" s="1"/>
  <c r="AP57" i="3"/>
  <c r="AP58" i="3" s="1"/>
  <c r="AO57" i="3"/>
  <c r="AO58" i="3" s="1"/>
  <c r="AN57" i="3"/>
  <c r="AN58" i="3" s="1"/>
  <c r="AM57" i="3"/>
  <c r="AM58" i="3" s="1"/>
  <c r="AL57" i="3"/>
  <c r="AL58" i="3" s="1"/>
  <c r="AW30" i="3"/>
  <c r="AW31" i="3" s="1"/>
  <c r="AV30" i="3"/>
  <c r="AV31" i="3" s="1"/>
  <c r="AU30" i="3"/>
  <c r="AU31" i="3" s="1"/>
  <c r="AT30" i="3"/>
  <c r="AT31" i="3" s="1"/>
  <c r="AS30" i="3"/>
  <c r="AS31" i="3" s="1"/>
  <c r="AR30" i="3"/>
  <c r="AR31" i="3" s="1"/>
  <c r="AQ30" i="3"/>
  <c r="AQ31" i="3" s="1"/>
  <c r="AP30" i="3"/>
  <c r="AP31" i="3" s="1"/>
  <c r="AO30" i="3"/>
  <c r="AO31" i="3" s="1"/>
  <c r="AN30" i="3"/>
  <c r="AN31" i="3" s="1"/>
  <c r="AM30" i="3"/>
  <c r="AM31" i="3" s="1"/>
  <c r="AL30" i="3"/>
  <c r="AL31" i="3" s="1"/>
  <c r="AG285" i="3"/>
  <c r="AG286" i="3" s="1"/>
  <c r="AF285" i="3"/>
  <c r="AF286" i="3" s="1"/>
  <c r="AE285" i="3"/>
  <c r="AE286" i="3" s="1"/>
  <c r="AD285" i="3"/>
  <c r="AD286" i="3" s="1"/>
  <c r="AC285" i="3"/>
  <c r="AC286" i="3" s="1"/>
  <c r="AB285" i="3"/>
  <c r="AB286" i="3" s="1"/>
  <c r="AA285" i="3"/>
  <c r="AA286" i="3" s="1"/>
  <c r="Z285" i="3"/>
  <c r="Z286" i="3" s="1"/>
  <c r="Y285" i="3"/>
  <c r="Y286" i="3" s="1"/>
  <c r="X285" i="3"/>
  <c r="X286" i="3" s="1"/>
  <c r="W285" i="3"/>
  <c r="W286" i="3" s="1"/>
  <c r="V285" i="3"/>
  <c r="V286" i="3" s="1"/>
  <c r="AG256" i="3"/>
  <c r="AG257" i="3" s="1"/>
  <c r="AF256" i="3"/>
  <c r="AF257" i="3" s="1"/>
  <c r="AE256" i="3"/>
  <c r="AE257" i="3" s="1"/>
  <c r="AD256" i="3"/>
  <c r="AD257" i="3" s="1"/>
  <c r="AC256" i="3"/>
  <c r="AC257" i="3" s="1"/>
  <c r="AB256" i="3"/>
  <c r="AB257" i="3" s="1"/>
  <c r="AA256" i="3"/>
  <c r="AA257" i="3" s="1"/>
  <c r="Z256" i="3"/>
  <c r="Z257" i="3" s="1"/>
  <c r="Y256" i="3"/>
  <c r="Y257" i="3" s="1"/>
  <c r="X256" i="3"/>
  <c r="X257" i="3" s="1"/>
  <c r="W256" i="3"/>
  <c r="W257" i="3" s="1"/>
  <c r="V256" i="3"/>
  <c r="V257" i="3" s="1"/>
  <c r="AG226" i="3"/>
  <c r="AG227" i="3" s="1"/>
  <c r="AF226" i="3"/>
  <c r="AF227" i="3" s="1"/>
  <c r="AE226" i="3"/>
  <c r="AE227" i="3" s="1"/>
  <c r="AD226" i="3"/>
  <c r="AD227" i="3" s="1"/>
  <c r="AC226" i="3"/>
  <c r="AC227" i="3" s="1"/>
  <c r="AB226" i="3"/>
  <c r="AB227" i="3" s="1"/>
  <c r="AA226" i="3"/>
  <c r="AA227" i="3" s="1"/>
  <c r="Z226" i="3"/>
  <c r="Z227" i="3" s="1"/>
  <c r="Y226" i="3"/>
  <c r="Y227" i="3" s="1"/>
  <c r="X226" i="3"/>
  <c r="X227" i="3" s="1"/>
  <c r="W226" i="3"/>
  <c r="W227" i="3" s="1"/>
  <c r="V226" i="3"/>
  <c r="V227" i="3" s="1"/>
  <c r="AG197" i="3"/>
  <c r="AG198" i="3" s="1"/>
  <c r="AF197" i="3"/>
  <c r="AF198" i="3" s="1"/>
  <c r="AE197" i="3"/>
  <c r="AE198" i="3" s="1"/>
  <c r="AD197" i="3"/>
  <c r="AD198" i="3" s="1"/>
  <c r="AC197" i="3"/>
  <c r="AC198" i="3" s="1"/>
  <c r="AB197" i="3"/>
  <c r="AB198" i="3" s="1"/>
  <c r="AA197" i="3"/>
  <c r="AA198" i="3" s="1"/>
  <c r="Z197" i="3"/>
  <c r="Z198" i="3" s="1"/>
  <c r="Y197" i="3"/>
  <c r="Y198" i="3" s="1"/>
  <c r="X197" i="3"/>
  <c r="X198" i="3" s="1"/>
  <c r="W197" i="3"/>
  <c r="W198" i="3" s="1"/>
  <c r="V197" i="3"/>
  <c r="V198" i="3" s="1"/>
  <c r="AG142" i="3"/>
  <c r="AG143" i="3" s="1"/>
  <c r="AF142" i="3"/>
  <c r="AF143" i="3" s="1"/>
  <c r="AE142" i="3"/>
  <c r="AE143" i="3" s="1"/>
  <c r="AD142" i="3"/>
  <c r="AD143" i="3" s="1"/>
  <c r="AC142" i="3"/>
  <c r="AC143" i="3" s="1"/>
  <c r="AB142" i="3"/>
  <c r="AB143" i="3" s="1"/>
  <c r="AA142" i="3"/>
  <c r="AA143" i="3" s="1"/>
  <c r="Z142" i="3"/>
  <c r="Z143" i="3" s="1"/>
  <c r="Y142" i="3"/>
  <c r="Y143" i="3" s="1"/>
  <c r="X142" i="3"/>
  <c r="X143" i="3" s="1"/>
  <c r="W142" i="3"/>
  <c r="W143" i="3" s="1"/>
  <c r="V142" i="3"/>
  <c r="V143" i="3" s="1"/>
  <c r="AG113" i="3"/>
  <c r="AG114" i="3" s="1"/>
  <c r="AF113" i="3"/>
  <c r="AF114" i="3" s="1"/>
  <c r="AE113" i="3"/>
  <c r="AE114" i="3" s="1"/>
  <c r="AD113" i="3"/>
  <c r="AD114" i="3" s="1"/>
  <c r="AC113" i="3"/>
  <c r="AC114" i="3" s="1"/>
  <c r="AB113" i="3"/>
  <c r="AB114" i="3" s="1"/>
  <c r="AA113" i="3"/>
  <c r="AA114" i="3" s="1"/>
  <c r="Z113" i="3"/>
  <c r="Z114" i="3" s="1"/>
  <c r="Y113" i="3"/>
  <c r="Y114" i="3" s="1"/>
  <c r="X113" i="3"/>
  <c r="X114" i="3" s="1"/>
  <c r="W113" i="3"/>
  <c r="W114" i="3" s="1"/>
  <c r="V113" i="3"/>
  <c r="V114" i="3" s="1"/>
  <c r="Y57" i="3"/>
  <c r="Y58" i="3" s="1"/>
  <c r="AG86" i="3"/>
  <c r="AG87" i="3" s="1"/>
  <c r="AF86" i="3"/>
  <c r="AF87" i="3" s="1"/>
  <c r="AE86" i="3"/>
  <c r="AE87" i="3" s="1"/>
  <c r="AD86" i="3"/>
  <c r="AD87" i="3" s="1"/>
  <c r="AC86" i="3"/>
  <c r="AC87" i="3" s="1"/>
  <c r="AB86" i="3"/>
  <c r="AB87" i="3" s="1"/>
  <c r="AA86" i="3"/>
  <c r="AA87" i="3" s="1"/>
  <c r="Z86" i="3"/>
  <c r="Z87" i="3" s="1"/>
  <c r="Y86" i="3"/>
  <c r="Y87" i="3" s="1"/>
  <c r="X86" i="3"/>
  <c r="X87" i="3" s="1"/>
  <c r="W86" i="3"/>
  <c r="W87" i="3" s="1"/>
  <c r="V86" i="3"/>
  <c r="V87" i="3" s="1"/>
  <c r="AG57" i="3"/>
  <c r="AG58" i="3" s="1"/>
  <c r="AF57" i="3"/>
  <c r="AF58" i="3" s="1"/>
  <c r="AE57" i="3"/>
  <c r="AE58" i="3" s="1"/>
  <c r="AD57" i="3"/>
  <c r="AD58" i="3" s="1"/>
  <c r="AC57" i="3"/>
  <c r="AC58" i="3" s="1"/>
  <c r="AB57" i="3"/>
  <c r="AB58" i="3" s="1"/>
  <c r="AA57" i="3"/>
  <c r="AA58" i="3" s="1"/>
  <c r="Z57" i="3"/>
  <c r="Z58" i="3" s="1"/>
  <c r="X57" i="3"/>
  <c r="X58" i="3" s="1"/>
  <c r="W57" i="3"/>
  <c r="W58" i="3" s="1"/>
  <c r="V57" i="3"/>
  <c r="V58" i="3" s="1"/>
  <c r="AG29" i="3"/>
  <c r="AG30" i="3" s="1"/>
  <c r="AF29" i="3"/>
  <c r="AF30" i="3" s="1"/>
  <c r="AE29" i="3"/>
  <c r="AE30" i="3" s="1"/>
  <c r="AD29" i="3"/>
  <c r="AD30" i="3" s="1"/>
  <c r="AC29" i="3"/>
  <c r="AC30" i="3" s="1"/>
  <c r="AB29" i="3"/>
  <c r="AB30" i="3" s="1"/>
  <c r="AA29" i="3"/>
  <c r="AA30" i="3" s="1"/>
  <c r="Z29" i="3"/>
  <c r="Z30" i="3" s="1"/>
  <c r="Y29" i="3"/>
  <c r="Y30" i="3" s="1"/>
  <c r="X29" i="3"/>
  <c r="X30" i="3" s="1"/>
  <c r="W29" i="3"/>
  <c r="W30" i="3" s="1"/>
  <c r="V29" i="3"/>
  <c r="V30" i="3" s="1"/>
  <c r="I76" i="8" l="1"/>
  <c r="H76" i="8"/>
  <c r="G76" i="8"/>
  <c r="I75" i="8"/>
  <c r="H75" i="8"/>
  <c r="G75" i="8"/>
  <c r="I74" i="8"/>
  <c r="H74" i="8"/>
  <c r="G74" i="8"/>
  <c r="I73" i="8"/>
  <c r="H73" i="8"/>
  <c r="I72" i="8"/>
  <c r="I71" i="8"/>
  <c r="I70" i="8"/>
  <c r="I69" i="8"/>
  <c r="I68" i="8"/>
  <c r="H68" i="8"/>
  <c r="G68" i="8"/>
  <c r="I67" i="8"/>
  <c r="H67" i="8"/>
  <c r="G67" i="8"/>
  <c r="I66" i="8"/>
  <c r="H66" i="8"/>
  <c r="G66" i="8"/>
  <c r="I65" i="8"/>
  <c r="H65" i="8"/>
  <c r="G65" i="8"/>
  <c r="I64" i="8"/>
  <c r="H64" i="8"/>
  <c r="I63" i="8"/>
  <c r="H63" i="8"/>
  <c r="I62" i="8"/>
  <c r="H62" i="8"/>
  <c r="G62" i="8"/>
  <c r="I61" i="8"/>
  <c r="H61" i="8"/>
  <c r="G61" i="8"/>
  <c r="I60" i="8"/>
  <c r="H60" i="8"/>
  <c r="G60" i="8"/>
  <c r="I59" i="8"/>
  <c r="H59" i="8"/>
  <c r="G59" i="8"/>
  <c r="I58" i="8"/>
  <c r="H58" i="8"/>
  <c r="I57" i="8"/>
  <c r="H57" i="8"/>
  <c r="I56" i="8"/>
  <c r="I55" i="8"/>
  <c r="H55" i="8"/>
  <c r="G55" i="8"/>
  <c r="I54" i="8"/>
  <c r="H54" i="8"/>
  <c r="G54" i="8"/>
  <c r="I53" i="8"/>
  <c r="H53" i="8"/>
  <c r="G53" i="8"/>
  <c r="I52" i="8"/>
  <c r="H52" i="8"/>
  <c r="G52" i="8"/>
  <c r="I51" i="8"/>
  <c r="I50" i="8"/>
  <c r="H50" i="8"/>
  <c r="I49" i="8"/>
  <c r="H49" i="8"/>
  <c r="I48" i="8"/>
  <c r="H48" i="8"/>
  <c r="I47" i="8"/>
  <c r="H47" i="8"/>
  <c r="I46" i="8"/>
  <c r="H46" i="8"/>
  <c r="I45" i="8"/>
  <c r="H45" i="8"/>
  <c r="I44" i="8"/>
  <c r="H44" i="8"/>
  <c r="G44" i="8"/>
  <c r="I43" i="8"/>
  <c r="H43" i="8"/>
  <c r="G43" i="8"/>
  <c r="I42" i="8"/>
  <c r="H42" i="8"/>
  <c r="G42" i="8"/>
  <c r="I41" i="8"/>
  <c r="H41" i="8"/>
  <c r="G41" i="8"/>
  <c r="I40" i="8"/>
  <c r="I39" i="8"/>
  <c r="G39" i="8"/>
  <c r="I38" i="8"/>
  <c r="I37" i="8"/>
  <c r="I36" i="8"/>
  <c r="H36" i="8"/>
  <c r="I35" i="8"/>
  <c r="H35" i="8"/>
  <c r="I34" i="8"/>
  <c r="I33" i="8"/>
  <c r="I32" i="8"/>
  <c r="I31" i="8"/>
  <c r="I30" i="8"/>
  <c r="I29" i="8"/>
  <c r="H29" i="8"/>
  <c r="I28" i="8"/>
  <c r="I27" i="8"/>
  <c r="I26" i="8"/>
  <c r="I25" i="8"/>
  <c r="H25" i="8"/>
  <c r="I24" i="8"/>
  <c r="H24" i="8"/>
  <c r="I23" i="8"/>
  <c r="H23" i="8"/>
  <c r="I22" i="8"/>
  <c r="H22" i="8"/>
  <c r="I21" i="8"/>
  <c r="H21" i="8"/>
  <c r="I20" i="8"/>
  <c r="H20" i="8"/>
  <c r="I19" i="8"/>
  <c r="I18" i="8"/>
  <c r="H18" i="8"/>
  <c r="I17" i="8"/>
  <c r="I16" i="8"/>
  <c r="H16" i="8"/>
  <c r="I15" i="8"/>
  <c r="I14" i="8"/>
  <c r="I13" i="8"/>
  <c r="H13" i="8"/>
  <c r="I12" i="8"/>
  <c r="H12" i="8"/>
  <c r="I11" i="8"/>
  <c r="H11" i="8"/>
  <c r="I10" i="8"/>
  <c r="H10" i="8"/>
  <c r="I9" i="8"/>
  <c r="H9" i="8"/>
  <c r="I8" i="8"/>
  <c r="H8" i="8"/>
  <c r="I7" i="8"/>
  <c r="H7" i="8"/>
  <c r="I6" i="8"/>
  <c r="H6" i="8"/>
  <c r="I5" i="8"/>
  <c r="H5" i="8"/>
  <c r="I4" i="8"/>
  <c r="H4" i="8"/>
  <c r="I3" i="8"/>
  <c r="H3" i="8"/>
  <c r="I2" i="8"/>
  <c r="H2" i="8"/>
  <c r="E187" i="3"/>
  <c r="E188" i="3" s="1"/>
  <c r="F187" i="3"/>
  <c r="F188" i="3" s="1"/>
  <c r="D187" i="3"/>
  <c r="D188" i="3" s="1"/>
  <c r="N160" i="3"/>
  <c r="N161" i="3" s="1"/>
  <c r="O160" i="3"/>
  <c r="O161" i="3" s="1"/>
  <c r="M160" i="3"/>
  <c r="M161" i="3" s="1"/>
  <c r="G69" i="8" l="1"/>
  <c r="G70" i="8"/>
  <c r="H30" i="8"/>
  <c r="G46" i="8"/>
  <c r="G40" i="8"/>
  <c r="G63" i="8"/>
  <c r="H40" i="8"/>
  <c r="H19" i="8"/>
  <c r="H17" i="8"/>
  <c r="H71" i="8"/>
  <c r="H28" i="8"/>
  <c r="H37" i="8"/>
  <c r="G45" i="8"/>
  <c r="H56" i="8"/>
  <c r="H51" i="8"/>
  <c r="H27" i="8"/>
  <c r="H34" i="8"/>
  <c r="H69" i="8"/>
  <c r="H15" i="8"/>
  <c r="H33" i="8"/>
  <c r="G73" i="8"/>
  <c r="G58" i="8"/>
  <c r="H32" i="8"/>
  <c r="G38" i="8"/>
  <c r="H39" i="8"/>
  <c r="G71" i="8"/>
  <c r="G51" i="8"/>
  <c r="G56" i="8"/>
  <c r="H14" i="8"/>
  <c r="H31" i="8"/>
  <c r="G47" i="8"/>
  <c r="H72" i="8"/>
  <c r="H26" i="8"/>
  <c r="G50" i="8"/>
  <c r="G57" i="8"/>
  <c r="G64" i="8"/>
  <c r="H70" i="8"/>
  <c r="G49" i="8"/>
  <c r="H38" i="8"/>
  <c r="G48" i="8"/>
  <c r="G72" i="8"/>
  <c r="L160" i="3"/>
  <c r="L161" i="3"/>
  <c r="J160" i="3"/>
  <c r="J161" i="3" s="1"/>
  <c r="K160" i="3"/>
  <c r="K161" i="3" s="1"/>
  <c r="G160" i="3"/>
  <c r="G161" i="3" s="1"/>
  <c r="H160" i="3"/>
  <c r="H161" i="3" s="1"/>
  <c r="I160" i="3"/>
  <c r="I161" i="3" s="1"/>
  <c r="E160" i="3"/>
  <c r="E161" i="3" s="1"/>
  <c r="F160" i="3"/>
  <c r="F161" i="3" s="1"/>
  <c r="D160" i="3"/>
  <c r="D161" i="3" s="1"/>
  <c r="E133" i="3"/>
  <c r="E134" i="3" s="1"/>
  <c r="F133" i="3"/>
  <c r="F134" i="3" s="1"/>
  <c r="G133" i="3"/>
  <c r="G134" i="3" s="1"/>
  <c r="H133" i="3"/>
  <c r="H134" i="3" s="1"/>
  <c r="I133" i="3"/>
  <c r="I134" i="3" s="1"/>
  <c r="J133" i="3"/>
  <c r="J134" i="3" s="1"/>
  <c r="K133" i="3"/>
  <c r="K134" i="3" s="1"/>
  <c r="L133" i="3"/>
  <c r="L134" i="3" s="1"/>
  <c r="M133" i="3"/>
  <c r="M134" i="3" s="1"/>
  <c r="N133" i="3"/>
  <c r="N134" i="3" s="1"/>
  <c r="O133" i="3"/>
  <c r="O134" i="3" s="1"/>
  <c r="D133" i="3"/>
  <c r="D134" i="3" s="1"/>
  <c r="E106" i="3"/>
  <c r="E107" i="3" s="1"/>
  <c r="F106" i="3"/>
  <c r="F107" i="3" s="1"/>
  <c r="G106" i="3"/>
  <c r="G107" i="3" s="1"/>
  <c r="H106" i="3"/>
  <c r="H107" i="3" s="1"/>
  <c r="I106" i="3"/>
  <c r="I107" i="3" s="1"/>
  <c r="J106" i="3"/>
  <c r="J107" i="3" s="1"/>
  <c r="K106" i="3"/>
  <c r="K107" i="3" s="1"/>
  <c r="L106" i="3"/>
  <c r="L107" i="3" s="1"/>
  <c r="M106" i="3"/>
  <c r="M107" i="3" s="1"/>
  <c r="N106" i="3"/>
  <c r="N107" i="3" s="1"/>
  <c r="O106" i="3"/>
  <c r="O107" i="3" s="1"/>
  <c r="D106" i="3"/>
  <c r="D107" i="3" s="1"/>
  <c r="O79" i="3"/>
  <c r="O80" i="3" s="1"/>
  <c r="N79" i="3"/>
  <c r="N80" i="3"/>
  <c r="M79" i="3"/>
  <c r="M80" i="3" s="1"/>
  <c r="L79" i="3"/>
  <c r="L80" i="3" s="1"/>
  <c r="K79" i="3"/>
  <c r="K80" i="3" s="1"/>
  <c r="J79" i="3"/>
  <c r="J80" i="3" s="1"/>
  <c r="I79" i="3"/>
  <c r="I80" i="3" s="1"/>
  <c r="H79" i="3"/>
  <c r="H80" i="3" s="1"/>
  <c r="G79" i="3"/>
  <c r="G80" i="3" s="1"/>
  <c r="F79" i="3"/>
  <c r="F80" i="3" s="1"/>
  <c r="E79" i="3"/>
  <c r="E80" i="3" s="1"/>
  <c r="D79" i="3"/>
  <c r="D80" i="3" s="1"/>
  <c r="O52" i="3"/>
  <c r="O53" i="3" s="1"/>
  <c r="N52" i="3"/>
  <c r="N53" i="3" s="1"/>
  <c r="M52" i="3"/>
  <c r="M53" i="3" s="1"/>
  <c r="L52" i="3"/>
  <c r="L53" i="3" s="1"/>
  <c r="K52" i="3"/>
  <c r="K53" i="3" s="1"/>
  <c r="I52" i="3"/>
  <c r="I53" i="3" s="1"/>
  <c r="H52" i="3"/>
  <c r="H53" i="3" s="1"/>
  <c r="J52" i="3"/>
  <c r="J53" i="3" s="1"/>
  <c r="G52" i="3"/>
  <c r="G53" i="3" s="1"/>
  <c r="F52" i="3"/>
  <c r="F53" i="3"/>
  <c r="E52" i="3"/>
  <c r="E53" i="3"/>
  <c r="D53" i="3"/>
  <c r="D52" i="3"/>
  <c r="O25" i="3"/>
  <c r="O26" i="3" s="1"/>
  <c r="N25" i="3"/>
  <c r="N26" i="3" s="1"/>
  <c r="M25" i="3"/>
  <c r="M26" i="3" s="1"/>
  <c r="L25" i="3"/>
  <c r="L26" i="3" s="1"/>
  <c r="K25" i="3"/>
  <c r="K26" i="3" s="1"/>
  <c r="J25" i="3"/>
  <c r="J26" i="3" s="1"/>
  <c r="I25" i="3"/>
  <c r="I26" i="3" s="1"/>
  <c r="H25" i="3"/>
  <c r="H26" i="3" s="1"/>
  <c r="G25" i="3"/>
  <c r="G26" i="3"/>
  <c r="F25" i="3"/>
  <c r="F26" i="3" s="1"/>
  <c r="E25" i="3"/>
  <c r="E26" i="3" s="1"/>
  <c r="D25" i="3"/>
  <c r="D26" i="3" s="1"/>
</calcChain>
</file>

<file path=xl/sharedStrings.xml><?xml version="1.0" encoding="utf-8"?>
<sst xmlns="http://schemas.openxmlformats.org/spreadsheetml/2006/main" count="1590" uniqueCount="195">
  <si>
    <t>No</t>
  </si>
  <si>
    <t>Kode Saham</t>
  </si>
  <si>
    <t>Tahun</t>
  </si>
  <si>
    <t>ADRO</t>
  </si>
  <si>
    <t>MVE</t>
  </si>
  <si>
    <t>Total Debt</t>
  </si>
  <si>
    <t>Total Aset</t>
  </si>
  <si>
    <t>Tobin's Q</t>
  </si>
  <si>
    <t>Greenhouse Gas Emission</t>
  </si>
  <si>
    <t>Environmental Performance</t>
  </si>
  <si>
    <t>Kas+Setara Kas</t>
  </si>
  <si>
    <t>Financial Flexibility</t>
  </si>
  <si>
    <t>Leverage</t>
  </si>
  <si>
    <t>Firm Size</t>
  </si>
  <si>
    <t>Total Ekuitas</t>
  </si>
  <si>
    <t>MVE+Total Debt</t>
  </si>
  <si>
    <t>ABM</t>
  </si>
  <si>
    <t>AKRA</t>
  </si>
  <si>
    <t>BUMI</t>
  </si>
  <si>
    <t>BYAN</t>
  </si>
  <si>
    <t>DSSA</t>
  </si>
  <si>
    <t>APEX</t>
  </si>
  <si>
    <t>ENRG</t>
  </si>
  <si>
    <t>GEMS</t>
  </si>
  <si>
    <t>HRUM</t>
  </si>
  <si>
    <t>Disclosure</t>
  </si>
  <si>
    <t>Perubahan Iklim : Risiko dan Peluang</t>
  </si>
  <si>
    <t>Emisi Gas Rumah Kaca (Greenhouse Gas Emission)</t>
  </si>
  <si>
    <t>Konsumsi Energi</t>
  </si>
  <si>
    <t>Pengurangan Gas Rumah Kaca dan Biaya</t>
  </si>
  <si>
    <t>Akuntabilitas Emisi Karbon</t>
  </si>
  <si>
    <t>Jumlah Item yang Diungkapkan</t>
  </si>
  <si>
    <t>Jumlah Total Maksimum Skor = 18</t>
  </si>
  <si>
    <t>AEC 2 - Deskripsi mekanisme bahwa dewan (atau badan eksekutif lainnya) meninjau perkembangan perusahaan yang berhubungan dengan perubahan iklim.</t>
  </si>
  <si>
    <t>CC 2 - Penilaian/deskripsi saat ini (dan masa depan) dari implikasi keuangan, binsis dan peluang dari perubahan iklim</t>
  </si>
  <si>
    <t>GHG 2 - Keberadaan verifikasi eksternal terhadap perhitungan kuantitas emisi GRK oleh siapa dan atas dasar apa.</t>
  </si>
  <si>
    <t>GHG 3 - Total emisi gas rumah kaca (metrik ton CO2 yang dihasilkan)</t>
  </si>
  <si>
    <t>GHG 4 - Pengungkapan lingkup 1 dan 2, atau 3 emisi GRK langsung</t>
  </si>
  <si>
    <t>GHG 5 - Pengungkapan emisi GRK berdasarkan asal atau sumbernya (contoh: batu bara, listrik, dll).</t>
  </si>
  <si>
    <t>GHG 6 - Pengungkapan emisi GRK menurut fasilitas atau tingkat segmen.</t>
  </si>
  <si>
    <t>GHG 7 - Perbandingan emisi GRK dengan tahun-tahun sebelumnya.</t>
  </si>
  <si>
    <t>EC 1 - Jumlah energi yang dikonsumsi (misal: Tera-joule atau Peta-joule)</t>
  </si>
  <si>
    <t>EC 3 - Pengungkapan menurut jenis, fasilitas atau segmen.</t>
  </si>
  <si>
    <t>RC 1 - Perincian dari rencana atau strategi untuk mengurangi emisi GRK.</t>
  </si>
  <si>
    <t>RC 2 - Perincian dari tingkat target pengurungan emisi GRK saat ini dan target pengurangan emisi.</t>
  </si>
  <si>
    <t>BRC 4 - Biaya emisi masa depan yang diperhitungkan dalam perencanaan belanja modal (capital expenditure planning).</t>
  </si>
  <si>
    <t>RC 3 - Pengurangan emisi dan biaya atau tabungan (cost or saving) yang dicapai saat ini sebagai akibat dari rencana pengurangan emisi.</t>
  </si>
  <si>
    <t>AEC 1 - Indikasi bahwa dewan komite (atau badan eksekutif lainnya) memiliki tanggung jawab atas tindakan yang berkaitan dengan perubahan iklim.</t>
  </si>
  <si>
    <t>GHG 1 - Deskripsi metodologi yang digunakan untuk menghitung emisi gas rumah kaca (misal protokol GRK atau ISO)</t>
  </si>
  <si>
    <t>CC 1 - Penilaian/deskripsi terhadap risiko (peraturan/regulasi baik khusus maupun umum) yang berkaitan dengan perubahan iklim dan tindakan yang diambil untuk mengelola riskio tersebut.</t>
  </si>
  <si>
    <t>EC 2 - kuantifikasi energi yang digunakan dari sumber daya yang dapat diperbarui.</t>
  </si>
  <si>
    <t>ITMG</t>
  </si>
  <si>
    <t>KKGI</t>
  </si>
  <si>
    <t>CC 1 - Penilaian/deskripsi terhadap risiko (peraturan/regulasi baik khusus maupun umum) yang berkaitan dengan perubahan iklim dan tindakan yang diambil untuk mengelola risiko tersebut.</t>
  </si>
  <si>
    <t>CC 2 - Penilaian/deskripsi saat ini (dan masa depan) dari implikasi keuangan, bisnis dan peluang dari perubahan iklim</t>
  </si>
  <si>
    <t>MEDC</t>
  </si>
  <si>
    <t>PGAS</t>
  </si>
  <si>
    <t>PTBA</t>
  </si>
  <si>
    <t>PTRO</t>
  </si>
  <si>
    <t>TOBA</t>
  </si>
  <si>
    <t>ADMR</t>
  </si>
  <si>
    <t>RMKE</t>
  </si>
  <si>
    <t>MCOL</t>
  </si>
  <si>
    <t>TEBE</t>
  </si>
  <si>
    <t>BSSR</t>
  </si>
  <si>
    <t>MBAP</t>
  </si>
  <si>
    <t>ID</t>
  </si>
  <si>
    <t>SMMT</t>
  </si>
  <si>
    <t>IATA</t>
  </si>
  <si>
    <t>ABMM</t>
  </si>
  <si>
    <t>FV</t>
  </si>
  <si>
    <t>GGE</t>
  </si>
  <si>
    <t>EP</t>
  </si>
  <si>
    <t>FIFL</t>
  </si>
  <si>
    <t>LEV</t>
  </si>
  <si>
    <t>SIZE</t>
  </si>
  <si>
    <t>Industri</t>
  </si>
  <si>
    <t>Subsektor mesin dan alat berat</t>
  </si>
  <si>
    <t>ASII</t>
  </si>
  <si>
    <t>AUTO</t>
  </si>
  <si>
    <t>BOLT</t>
  </si>
  <si>
    <t>DRMA</t>
  </si>
  <si>
    <t>GJTL</t>
  </si>
  <si>
    <t>INDS</t>
  </si>
  <si>
    <t>ADMG</t>
  </si>
  <si>
    <t>INDR</t>
  </si>
  <si>
    <t>POLY</t>
  </si>
  <si>
    <t>SRIL</t>
  </si>
  <si>
    <t>IKBI</t>
  </si>
  <si>
    <t>VOKS</t>
  </si>
  <si>
    <t>Barang Konsumsi</t>
  </si>
  <si>
    <t>ADES</t>
  </si>
  <si>
    <t>AISA</t>
  </si>
  <si>
    <t>BUDI</t>
  </si>
  <si>
    <t>CAMP</t>
  </si>
  <si>
    <t>DLTA</t>
  </si>
  <si>
    <t>MLBI</t>
  </si>
  <si>
    <t>MYOR</t>
  </si>
  <si>
    <t>PSDN</t>
  </si>
  <si>
    <t>ROTI</t>
  </si>
  <si>
    <t>SKLT</t>
  </si>
  <si>
    <t>GGRM</t>
  </si>
  <si>
    <t>KAEF</t>
  </si>
  <si>
    <t>KBLF</t>
  </si>
  <si>
    <t>PEHA</t>
  </si>
  <si>
    <t>SIDO</t>
  </si>
  <si>
    <t>KINO</t>
  </si>
  <si>
    <t>UNVR</t>
  </si>
  <si>
    <t>MRAT</t>
  </si>
  <si>
    <t>VICI</t>
  </si>
  <si>
    <t>Sektor Industri Dasar dan Kimia</t>
  </si>
  <si>
    <t>INTP</t>
  </si>
  <si>
    <t>SMBR</t>
  </si>
  <si>
    <t>SMCB</t>
  </si>
  <si>
    <t>SMGR</t>
  </si>
  <si>
    <t>AMFG</t>
  </si>
  <si>
    <t>TOTO</t>
  </si>
  <si>
    <t>BAJA</t>
  </si>
  <si>
    <t>CTBN</t>
  </si>
  <si>
    <t>GDST</t>
  </si>
  <si>
    <t>ISSP</t>
  </si>
  <si>
    <t>KRAS</t>
  </si>
  <si>
    <t>LION</t>
  </si>
  <si>
    <t>NIKL</t>
  </si>
  <si>
    <t>AVIA</t>
  </si>
  <si>
    <t>CHEM</t>
  </si>
  <si>
    <t>TPIA</t>
  </si>
  <si>
    <t>UNIC</t>
  </si>
  <si>
    <t>FPNI</t>
  </si>
  <si>
    <t>IPOL</t>
  </si>
  <si>
    <t>CPIN</t>
  </si>
  <si>
    <t>JPFA</t>
  </si>
  <si>
    <t xml:space="preserve">MAIN	</t>
  </si>
  <si>
    <t>IFII</t>
  </si>
  <si>
    <t>INKP</t>
  </si>
  <si>
    <t>SPMA</t>
  </si>
  <si>
    <t>SWAT</t>
  </si>
  <si>
    <t>TKIM</t>
  </si>
  <si>
    <t>KBLM</t>
  </si>
  <si>
    <t>sebelah kanan manufaktur</t>
  </si>
  <si>
    <t>Subsektor semen</t>
  </si>
  <si>
    <t>\</t>
  </si>
  <si>
    <t>Sub Sektor Keramik,Porselen dan Kaca</t>
  </si>
  <si>
    <t>Sub Sektor Logam dan Sejenisnya</t>
  </si>
  <si>
    <t>Sub Sektor Sektor Kimia</t>
  </si>
  <si>
    <t>Sub Sektor Plastik dan Kemasan</t>
  </si>
  <si>
    <t>Sub Sektor Pakan Ternak</t>
  </si>
  <si>
    <t>MAIN</t>
  </si>
  <si>
    <t>Sub Sektor Industri Kayu</t>
  </si>
  <si>
    <t>Sub Sektor Bubur Kertas</t>
  </si>
  <si>
    <t>Sektor Aneka Industri</t>
  </si>
  <si>
    <t>Sub Sektor Otomotif dan Komponen</t>
  </si>
  <si>
    <t>Sub Sektor Tekstil dan Garmen</t>
  </si>
  <si>
    <t>PSTN</t>
  </si>
  <si>
    <t>Sektor Industri Barang Konsumsi</t>
  </si>
  <si>
    <t>Sub Sektor Makanan dan Minuman</t>
  </si>
  <si>
    <t xml:space="preserve">BUDI </t>
  </si>
  <si>
    <t>Sub Sektor Pabrik Tembakau</t>
  </si>
  <si>
    <t>Sub Sektor Farmasi</t>
  </si>
  <si>
    <t>Sub Sektor Kosmetik dan Barang Keperluan Rumah Tangga</t>
  </si>
  <si>
    <t>INAI</t>
  </si>
  <si>
    <t>AGII</t>
  </si>
  <si>
    <t>GOOD</t>
  </si>
  <si>
    <t>ICBP</t>
  </si>
  <si>
    <t>ULTJ</t>
  </si>
  <si>
    <t>CINT</t>
  </si>
  <si>
    <t>Sub Sektor Peralatan Rumah Tangga</t>
  </si>
  <si>
    <t>INDF</t>
  </si>
  <si>
    <t>KBLI</t>
  </si>
  <si>
    <t>sub sektor elektronika dan sub sektor kabel</t>
  </si>
  <si>
    <t>BRAM</t>
  </si>
  <si>
    <t>MASA</t>
  </si>
  <si>
    <t>KodeSaham</t>
  </si>
  <si>
    <t>Indocement Tunggal Prakasa Tbk (INTP)</t>
  </si>
  <si>
    <t>Semen Baturaja Tbk (SMBR)</t>
  </si>
  <si>
    <t>Solusi Bangun Indonesia Tbk (SMCB)</t>
  </si>
  <si>
    <t>Semen Indonesia (Persero) Tbk (SMGR)</t>
  </si>
  <si>
    <t>Asahimas Flat Glass Tbk (AMFG)</t>
  </si>
  <si>
    <t>Surya Toto Indonesia Tbk (TOTO)</t>
  </si>
  <si>
    <t>Saranacentral Bajatama Tbk (BAJA)</t>
  </si>
  <si>
    <t>Citra Tubindo Tbk (CTBN)</t>
  </si>
  <si>
    <t>Gunawan Dianjaya Steel Tbk (GDST)</t>
  </si>
  <si>
    <t>Indal Aluminium Industry Tbk (INAI)</t>
  </si>
  <si>
    <t>Steel Pipe Industry of Indonesia Tbk (ISSP)</t>
  </si>
  <si>
    <t>Krakatau Steel (Persero) Tbk (KRAS)</t>
  </si>
  <si>
    <t>Lion Metal Works Tbk (LION)</t>
  </si>
  <si>
    <t>Pelat Timah Nusantara Tbk (NIKL)</t>
  </si>
  <si>
    <t>Samator Indo Gas Tbk (AGII)</t>
  </si>
  <si>
    <t>Avia Avian Tbk (AVIA)</t>
  </si>
  <si>
    <t>Chemstar Indonesia Tbk  (CHEM)</t>
  </si>
  <si>
    <t>Chandra Asri Petrochemical (TPIA)</t>
  </si>
  <si>
    <t>TobinsQ_w</t>
  </si>
  <si>
    <t>FIFL_w</t>
  </si>
  <si>
    <t>LEV_w</t>
  </si>
  <si>
    <t>LNSize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</si>
</sst>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0.00000"/>
    <numFmt numFmtId="166" formatCode="_-&quot;Rp&quot;* #,##0_-;\-&quot;Rp&quot;* #,##0_-;_-&quot;Rp&quot;* &quot;-&quot;??_-;_-@_-"/>
    <numFmt numFmtId="167" formatCode="0.0000"/>
    <numFmt numFmtId="168" formatCode="0.00000000"/>
    <numFmt numFmtId="169" formatCode="0.000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b/>
      <sz val="16"/>
      <name val="Times New Roman"/>
      <family val="1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164" fontId="1" fillId="0" borderId="0" xfId="0" applyNumberFormat="1" applyFont="1"/>
    <xf numFmtId="1" fontId="1" fillId="0" borderId="0" xfId="0" applyNumberFormat="1" applyFont="1" applyAlignment="1">
      <alignment horizontal="center"/>
    </xf>
    <xf numFmtId="1" fontId="1" fillId="0" borderId="1" xfId="0" applyNumberFormat="1" applyFont="1" applyBorder="1" applyAlignment="1">
      <alignment horizontal="center"/>
    </xf>
    <xf numFmtId="2" fontId="1" fillId="0" borderId="0" xfId="0" applyNumberFormat="1" applyFont="1"/>
    <xf numFmtId="2" fontId="1" fillId="0" borderId="1" xfId="0" applyNumberFormat="1" applyFont="1" applyBorder="1"/>
    <xf numFmtId="0" fontId="2" fillId="0" borderId="2" xfId="0" applyFont="1" applyBorder="1" applyAlignment="1">
      <alignment horizontal="center" vertical="center"/>
    </xf>
    <xf numFmtId="0" fontId="2" fillId="0" borderId="2" xfId="0" applyFont="1" applyBorder="1"/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left" wrapText="1"/>
    </xf>
    <xf numFmtId="0" fontId="2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1" fillId="0" borderId="2" xfId="0" applyFont="1" applyBorder="1"/>
    <xf numFmtId="0" fontId="1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wrapText="1"/>
    </xf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2" fillId="0" borderId="3" xfId="0" applyFont="1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165" fontId="1" fillId="0" borderId="0" xfId="0" applyNumberFormat="1" applyFont="1"/>
    <xf numFmtId="165" fontId="1" fillId="0" borderId="1" xfId="0" applyNumberFormat="1" applyFont="1" applyBorder="1"/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165" fontId="1" fillId="0" borderId="7" xfId="0" applyNumberFormat="1" applyFont="1" applyBorder="1" applyAlignment="1">
      <alignment horizontal="center" vertical="center"/>
    </xf>
    <xf numFmtId="2" fontId="1" fillId="0" borderId="8" xfId="0" applyNumberFormat="1" applyFont="1" applyBorder="1"/>
    <xf numFmtId="166" fontId="1" fillId="0" borderId="0" xfId="0" applyNumberFormat="1" applyFont="1"/>
    <xf numFmtId="166" fontId="1" fillId="0" borderId="1" xfId="0" applyNumberFormat="1" applyFont="1" applyBorder="1"/>
    <xf numFmtId="166" fontId="1" fillId="0" borderId="8" xfId="0" applyNumberFormat="1" applyFont="1" applyBorder="1"/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0" borderId="8" xfId="0" applyFont="1" applyBorder="1"/>
    <xf numFmtId="165" fontId="1" fillId="0" borderId="8" xfId="0" applyNumberFormat="1" applyFont="1" applyBorder="1"/>
    <xf numFmtId="167" fontId="1" fillId="0" borderId="0" xfId="0" applyNumberFormat="1" applyFont="1"/>
    <xf numFmtId="167" fontId="1" fillId="0" borderId="1" xfId="0" applyNumberFormat="1" applyFont="1" applyBorder="1"/>
    <xf numFmtId="167" fontId="1" fillId="0" borderId="8" xfId="0" applyNumberFormat="1" applyFont="1" applyBorder="1"/>
    <xf numFmtId="168" fontId="1" fillId="0" borderId="0" xfId="0" applyNumberFormat="1" applyFont="1"/>
    <xf numFmtId="168" fontId="1" fillId="0" borderId="1" xfId="0" applyNumberFormat="1" applyFont="1" applyBorder="1"/>
    <xf numFmtId="0" fontId="1" fillId="4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9" fontId="1" fillId="0" borderId="0" xfId="0" applyNumberFormat="1" applyFont="1"/>
    <xf numFmtId="0" fontId="2" fillId="0" borderId="0" xfId="0" applyFont="1"/>
    <xf numFmtId="0" fontId="1" fillId="3" borderId="1" xfId="0" applyFont="1" applyFill="1" applyBorder="1"/>
    <xf numFmtId="0" fontId="1" fillId="5" borderId="1" xfId="0" applyFont="1" applyFill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2" fontId="1" fillId="2" borderId="0" xfId="0" applyNumberFormat="1" applyFont="1" applyFill="1"/>
    <xf numFmtId="1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263525</xdr:colOff>
      <xdr:row>25</xdr:row>
      <xdr:rowOff>187325</xdr:rowOff>
    </xdr:from>
    <xdr:ext cx="2574872" cy="3788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8DEF7DBB-E3D4-078E-FAE7-DFE0C177B69F}"/>
                </a:ext>
              </a:extLst>
            </xdr:cNvPr>
            <xdr:cNvSpPr txBox="1"/>
          </xdr:nvSpPr>
          <xdr:spPr>
            <a:xfrm>
              <a:off x="1685925" y="11204575"/>
              <a:ext cx="2574872" cy="3788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sz="1200" b="0" i="0">
                        <a:latin typeface="Cambria Math" panose="02040503050406030204" pitchFamily="18" charset="0"/>
                      </a:rPr>
                      <m:t>CED</m:t>
                    </m:r>
                    <m:r>
                      <a:rPr lang="en-US" sz="1200" b="0" i="0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n-ID" sz="12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Jumlah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skor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yang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diungkapkan</m:t>
                        </m:r>
                      </m:num>
                      <m:den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Jumlah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total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maksimum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skor</m:t>
                        </m:r>
                      </m:den>
                    </m:f>
                  </m:oMath>
                </m:oMathPara>
              </a14:m>
              <a:endParaRPr lang="en-ID" sz="1200" i="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8DEF7DBB-E3D4-078E-FAE7-DFE0C177B69F}"/>
                </a:ext>
              </a:extLst>
            </xdr:cNvPr>
            <xdr:cNvSpPr txBox="1"/>
          </xdr:nvSpPr>
          <xdr:spPr>
            <a:xfrm>
              <a:off x="1685925" y="11204575"/>
              <a:ext cx="2574872" cy="3788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200" b="0" i="0">
                  <a:latin typeface="Cambria Math" panose="02040503050406030204" pitchFamily="18" charset="0"/>
                </a:rPr>
                <a:t>CED=  </a:t>
              </a:r>
              <a:r>
                <a:rPr lang="en-ID" sz="1200" b="0" i="0">
                  <a:latin typeface="Cambria Math" panose="02040503050406030204" pitchFamily="18" charset="0"/>
                </a:rPr>
                <a:t>(</a:t>
              </a:r>
              <a:r>
                <a:rPr lang="en-US" sz="1200" b="0" i="0">
                  <a:latin typeface="Cambria Math" panose="02040503050406030204" pitchFamily="18" charset="0"/>
                </a:rPr>
                <a:t>Jumlah skor yang diungkapkan</a:t>
              </a:r>
              <a:r>
                <a:rPr lang="en-ID" sz="1200" b="0" i="0">
                  <a:latin typeface="Cambria Math" panose="02040503050406030204" pitchFamily="18" charset="0"/>
                </a:rPr>
                <a:t>)/(</a:t>
              </a:r>
              <a:r>
                <a:rPr lang="en-US" sz="1200" b="0" i="0">
                  <a:latin typeface="Cambria Math" panose="02040503050406030204" pitchFamily="18" charset="0"/>
                </a:rPr>
                <a:t>Jumlah total maksimum skor</a:t>
              </a:r>
              <a:r>
                <a:rPr lang="en-ID" sz="1200" b="0" i="0">
                  <a:latin typeface="Cambria Math" panose="02040503050406030204" pitchFamily="18" charset="0"/>
                </a:rPr>
                <a:t>)</a:t>
              </a:r>
              <a:endParaRPr lang="en-ID" sz="1200" i="0"/>
            </a:p>
          </xdr:txBody>
        </xdr:sp>
      </mc:Fallback>
    </mc:AlternateContent>
    <xdr:clientData/>
  </xdr:oneCellAnchor>
  <xdr:oneCellAnchor>
    <xdr:from>
      <xdr:col>2</xdr:col>
      <xdr:colOff>263525</xdr:colOff>
      <xdr:row>52</xdr:row>
      <xdr:rowOff>187325</xdr:rowOff>
    </xdr:from>
    <xdr:ext cx="2574872" cy="3788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00ADB437-B2D3-40E2-A07F-ADA4A4EA7FBA}"/>
                </a:ext>
              </a:extLst>
            </xdr:cNvPr>
            <xdr:cNvSpPr txBox="1"/>
          </xdr:nvSpPr>
          <xdr:spPr>
            <a:xfrm>
              <a:off x="1685925" y="11007725"/>
              <a:ext cx="2574872" cy="3788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sz="1200" b="0" i="0">
                        <a:latin typeface="Cambria Math" panose="02040503050406030204" pitchFamily="18" charset="0"/>
                      </a:rPr>
                      <m:t>CED</m:t>
                    </m:r>
                    <m:r>
                      <a:rPr lang="en-US" sz="1200" b="0" i="0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n-ID" sz="12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Jumlah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skor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yang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diungkapkan</m:t>
                        </m:r>
                      </m:num>
                      <m:den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Jumlah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total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maksimum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skor</m:t>
                        </m:r>
                      </m:den>
                    </m:f>
                  </m:oMath>
                </m:oMathPara>
              </a14:m>
              <a:endParaRPr lang="en-ID" sz="1200" i="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00ADB437-B2D3-40E2-A07F-ADA4A4EA7FBA}"/>
                </a:ext>
              </a:extLst>
            </xdr:cNvPr>
            <xdr:cNvSpPr txBox="1"/>
          </xdr:nvSpPr>
          <xdr:spPr>
            <a:xfrm>
              <a:off x="1685925" y="11007725"/>
              <a:ext cx="2574872" cy="3788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200" b="0" i="0">
                  <a:latin typeface="Cambria Math" panose="02040503050406030204" pitchFamily="18" charset="0"/>
                </a:rPr>
                <a:t>CED=  </a:t>
              </a:r>
              <a:r>
                <a:rPr lang="en-ID" sz="1200" b="0" i="0">
                  <a:latin typeface="Cambria Math" panose="02040503050406030204" pitchFamily="18" charset="0"/>
                </a:rPr>
                <a:t>(</a:t>
              </a:r>
              <a:r>
                <a:rPr lang="en-US" sz="1200" b="0" i="0">
                  <a:latin typeface="Cambria Math" panose="02040503050406030204" pitchFamily="18" charset="0"/>
                </a:rPr>
                <a:t>Jumlah skor yang diungkapkan</a:t>
              </a:r>
              <a:r>
                <a:rPr lang="en-ID" sz="1200" b="0" i="0">
                  <a:latin typeface="Cambria Math" panose="02040503050406030204" pitchFamily="18" charset="0"/>
                </a:rPr>
                <a:t>)/(</a:t>
              </a:r>
              <a:r>
                <a:rPr lang="en-US" sz="1200" b="0" i="0">
                  <a:latin typeface="Cambria Math" panose="02040503050406030204" pitchFamily="18" charset="0"/>
                </a:rPr>
                <a:t>Jumlah total maksimum skor</a:t>
              </a:r>
              <a:r>
                <a:rPr lang="en-ID" sz="1200" b="0" i="0">
                  <a:latin typeface="Cambria Math" panose="02040503050406030204" pitchFamily="18" charset="0"/>
                </a:rPr>
                <a:t>)</a:t>
              </a:r>
              <a:endParaRPr lang="en-ID" sz="1200" i="0"/>
            </a:p>
          </xdr:txBody>
        </xdr:sp>
      </mc:Fallback>
    </mc:AlternateContent>
    <xdr:clientData/>
  </xdr:oneCellAnchor>
  <xdr:oneCellAnchor>
    <xdr:from>
      <xdr:col>2</xdr:col>
      <xdr:colOff>263525</xdr:colOff>
      <xdr:row>79</xdr:row>
      <xdr:rowOff>187325</xdr:rowOff>
    </xdr:from>
    <xdr:ext cx="2574872" cy="3788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920589D3-E5CE-4C85-95AC-1D0D5803E0CD}"/>
                </a:ext>
              </a:extLst>
            </xdr:cNvPr>
            <xdr:cNvSpPr txBox="1"/>
          </xdr:nvSpPr>
          <xdr:spPr>
            <a:xfrm>
              <a:off x="1685925" y="22786975"/>
              <a:ext cx="2574872" cy="3788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sz="1200" b="0" i="0">
                        <a:latin typeface="Cambria Math" panose="02040503050406030204" pitchFamily="18" charset="0"/>
                      </a:rPr>
                      <m:t>CED</m:t>
                    </m:r>
                    <m:r>
                      <a:rPr lang="en-US" sz="1200" b="0" i="0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n-ID" sz="12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Jumlah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skor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yang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diungkapkan</m:t>
                        </m:r>
                      </m:num>
                      <m:den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Jumlah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total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maksimum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skor</m:t>
                        </m:r>
                      </m:den>
                    </m:f>
                  </m:oMath>
                </m:oMathPara>
              </a14:m>
              <a:endParaRPr lang="en-ID" sz="1200" i="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920589D3-E5CE-4C85-95AC-1D0D5803E0CD}"/>
                </a:ext>
              </a:extLst>
            </xdr:cNvPr>
            <xdr:cNvSpPr txBox="1"/>
          </xdr:nvSpPr>
          <xdr:spPr>
            <a:xfrm>
              <a:off x="1685925" y="22786975"/>
              <a:ext cx="2574872" cy="3788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0" i="0">
                  <a:latin typeface="Cambria Math" panose="02040503050406030204" pitchFamily="18" charset="0"/>
                </a:rPr>
                <a:t>CED=  </a:t>
              </a:r>
              <a:r>
                <a:rPr lang="en-ID" sz="1200" b="0" i="0">
                  <a:latin typeface="Cambria Math" panose="02040503050406030204" pitchFamily="18" charset="0"/>
                </a:rPr>
                <a:t>(</a:t>
              </a:r>
              <a:r>
                <a:rPr lang="en-US" sz="1200" b="0" i="0">
                  <a:latin typeface="Cambria Math" panose="02040503050406030204" pitchFamily="18" charset="0"/>
                </a:rPr>
                <a:t>Jumlah skor yang diungkapkan</a:t>
              </a:r>
              <a:r>
                <a:rPr lang="en-ID" sz="1200" b="0" i="0">
                  <a:latin typeface="Cambria Math" panose="02040503050406030204" pitchFamily="18" charset="0"/>
                </a:rPr>
                <a:t>)/(</a:t>
              </a:r>
              <a:r>
                <a:rPr lang="en-US" sz="1200" b="0" i="0">
                  <a:latin typeface="Cambria Math" panose="02040503050406030204" pitchFamily="18" charset="0"/>
                </a:rPr>
                <a:t>Jumlah total maksimum skor</a:t>
              </a:r>
              <a:r>
                <a:rPr lang="en-ID" sz="1200" b="0" i="0">
                  <a:latin typeface="Cambria Math" panose="02040503050406030204" pitchFamily="18" charset="0"/>
                </a:rPr>
                <a:t>)</a:t>
              </a:r>
              <a:endParaRPr lang="en-ID" sz="1200" i="0"/>
            </a:p>
          </xdr:txBody>
        </xdr:sp>
      </mc:Fallback>
    </mc:AlternateContent>
    <xdr:clientData/>
  </xdr:oneCellAnchor>
  <xdr:oneCellAnchor>
    <xdr:from>
      <xdr:col>2</xdr:col>
      <xdr:colOff>263525</xdr:colOff>
      <xdr:row>106</xdr:row>
      <xdr:rowOff>187325</xdr:rowOff>
    </xdr:from>
    <xdr:ext cx="2574872" cy="3788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89467D1F-0760-41C1-83B2-F3115DD2AC16}"/>
                </a:ext>
              </a:extLst>
            </xdr:cNvPr>
            <xdr:cNvSpPr txBox="1"/>
          </xdr:nvSpPr>
          <xdr:spPr>
            <a:xfrm>
              <a:off x="1685925" y="34566225"/>
              <a:ext cx="2574872" cy="3788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sz="1200" b="0" i="0">
                        <a:latin typeface="Cambria Math" panose="02040503050406030204" pitchFamily="18" charset="0"/>
                      </a:rPr>
                      <m:t>CED</m:t>
                    </m:r>
                    <m:r>
                      <a:rPr lang="en-US" sz="1200" b="0" i="0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n-ID" sz="12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Jumlah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skor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yang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diungkapkan</m:t>
                        </m:r>
                      </m:num>
                      <m:den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Jumlah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total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maksimum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skor</m:t>
                        </m:r>
                      </m:den>
                    </m:f>
                  </m:oMath>
                </m:oMathPara>
              </a14:m>
              <a:endParaRPr lang="en-ID" sz="1200" i="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89467D1F-0760-41C1-83B2-F3115DD2AC16}"/>
                </a:ext>
              </a:extLst>
            </xdr:cNvPr>
            <xdr:cNvSpPr txBox="1"/>
          </xdr:nvSpPr>
          <xdr:spPr>
            <a:xfrm>
              <a:off x="1685925" y="34566225"/>
              <a:ext cx="2574872" cy="3788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0" i="0">
                  <a:latin typeface="Cambria Math" panose="02040503050406030204" pitchFamily="18" charset="0"/>
                </a:rPr>
                <a:t>CED=  </a:t>
              </a:r>
              <a:r>
                <a:rPr lang="en-ID" sz="1200" b="0" i="0">
                  <a:latin typeface="Cambria Math" panose="02040503050406030204" pitchFamily="18" charset="0"/>
                </a:rPr>
                <a:t>(</a:t>
              </a:r>
              <a:r>
                <a:rPr lang="en-US" sz="1200" b="0" i="0">
                  <a:latin typeface="Cambria Math" panose="02040503050406030204" pitchFamily="18" charset="0"/>
                </a:rPr>
                <a:t>Jumlah skor yang diungkapkan</a:t>
              </a:r>
              <a:r>
                <a:rPr lang="en-ID" sz="1200" b="0" i="0">
                  <a:latin typeface="Cambria Math" panose="02040503050406030204" pitchFamily="18" charset="0"/>
                </a:rPr>
                <a:t>)/(</a:t>
              </a:r>
              <a:r>
                <a:rPr lang="en-US" sz="1200" b="0" i="0">
                  <a:latin typeface="Cambria Math" panose="02040503050406030204" pitchFamily="18" charset="0"/>
                </a:rPr>
                <a:t>Jumlah total maksimum skor</a:t>
              </a:r>
              <a:r>
                <a:rPr lang="en-ID" sz="1200" b="0" i="0">
                  <a:latin typeface="Cambria Math" panose="02040503050406030204" pitchFamily="18" charset="0"/>
                </a:rPr>
                <a:t>)</a:t>
              </a:r>
              <a:endParaRPr lang="en-ID" sz="1200" i="0"/>
            </a:p>
          </xdr:txBody>
        </xdr:sp>
      </mc:Fallback>
    </mc:AlternateContent>
    <xdr:clientData/>
  </xdr:oneCellAnchor>
  <xdr:oneCellAnchor>
    <xdr:from>
      <xdr:col>2</xdr:col>
      <xdr:colOff>263525</xdr:colOff>
      <xdr:row>133</xdr:row>
      <xdr:rowOff>187325</xdr:rowOff>
    </xdr:from>
    <xdr:ext cx="2574872" cy="3788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746E79B5-D1B1-4C7F-AD61-1A81817FB3E3}"/>
                </a:ext>
              </a:extLst>
            </xdr:cNvPr>
            <xdr:cNvSpPr txBox="1"/>
          </xdr:nvSpPr>
          <xdr:spPr>
            <a:xfrm>
              <a:off x="1685925" y="46345475"/>
              <a:ext cx="2574872" cy="3788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sz="1200" b="0" i="0">
                        <a:latin typeface="Cambria Math" panose="02040503050406030204" pitchFamily="18" charset="0"/>
                      </a:rPr>
                      <m:t>CED</m:t>
                    </m:r>
                    <m:r>
                      <a:rPr lang="en-US" sz="1200" b="0" i="0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n-ID" sz="12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Jumlah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skor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yang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diungkapkan</m:t>
                        </m:r>
                      </m:num>
                      <m:den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Jumlah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total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maksimum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skor</m:t>
                        </m:r>
                      </m:den>
                    </m:f>
                  </m:oMath>
                </m:oMathPara>
              </a14:m>
              <a:endParaRPr lang="en-ID" sz="1200" i="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746E79B5-D1B1-4C7F-AD61-1A81817FB3E3}"/>
                </a:ext>
              </a:extLst>
            </xdr:cNvPr>
            <xdr:cNvSpPr txBox="1"/>
          </xdr:nvSpPr>
          <xdr:spPr>
            <a:xfrm>
              <a:off x="1685925" y="46345475"/>
              <a:ext cx="2574872" cy="3788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0" i="0">
                  <a:latin typeface="Cambria Math" panose="02040503050406030204" pitchFamily="18" charset="0"/>
                </a:rPr>
                <a:t>CED=  </a:t>
              </a:r>
              <a:r>
                <a:rPr lang="en-ID" sz="1200" b="0" i="0">
                  <a:latin typeface="Cambria Math" panose="02040503050406030204" pitchFamily="18" charset="0"/>
                </a:rPr>
                <a:t>(</a:t>
              </a:r>
              <a:r>
                <a:rPr lang="en-US" sz="1200" b="0" i="0">
                  <a:latin typeface="Cambria Math" panose="02040503050406030204" pitchFamily="18" charset="0"/>
                </a:rPr>
                <a:t>Jumlah skor yang diungkapkan</a:t>
              </a:r>
              <a:r>
                <a:rPr lang="en-ID" sz="1200" b="0" i="0">
                  <a:latin typeface="Cambria Math" panose="02040503050406030204" pitchFamily="18" charset="0"/>
                </a:rPr>
                <a:t>)/(</a:t>
              </a:r>
              <a:r>
                <a:rPr lang="en-US" sz="1200" b="0" i="0">
                  <a:latin typeface="Cambria Math" panose="02040503050406030204" pitchFamily="18" charset="0"/>
                </a:rPr>
                <a:t>Jumlah total maksimum skor</a:t>
              </a:r>
              <a:r>
                <a:rPr lang="en-ID" sz="1200" b="0" i="0">
                  <a:latin typeface="Cambria Math" panose="02040503050406030204" pitchFamily="18" charset="0"/>
                </a:rPr>
                <a:t>)</a:t>
              </a:r>
              <a:endParaRPr lang="en-ID" sz="1200" i="0"/>
            </a:p>
          </xdr:txBody>
        </xdr:sp>
      </mc:Fallback>
    </mc:AlternateContent>
    <xdr:clientData/>
  </xdr:oneCellAnchor>
  <xdr:oneCellAnchor>
    <xdr:from>
      <xdr:col>2</xdr:col>
      <xdr:colOff>263525</xdr:colOff>
      <xdr:row>160</xdr:row>
      <xdr:rowOff>187325</xdr:rowOff>
    </xdr:from>
    <xdr:ext cx="2574872" cy="3788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8F7A54F2-4696-4A89-8A5F-AE5CA71A264C}"/>
                </a:ext>
              </a:extLst>
            </xdr:cNvPr>
            <xdr:cNvSpPr txBox="1"/>
          </xdr:nvSpPr>
          <xdr:spPr>
            <a:xfrm>
              <a:off x="1685925" y="58124725"/>
              <a:ext cx="2574872" cy="3788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sz="1200" b="0" i="0">
                        <a:latin typeface="Cambria Math" panose="02040503050406030204" pitchFamily="18" charset="0"/>
                      </a:rPr>
                      <m:t>CED</m:t>
                    </m:r>
                    <m:r>
                      <a:rPr lang="en-US" sz="1200" b="0" i="0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n-ID" sz="12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Jumlah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skor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yang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diungkapkan</m:t>
                        </m:r>
                      </m:num>
                      <m:den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Jumlah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total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maksimum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skor</m:t>
                        </m:r>
                      </m:den>
                    </m:f>
                  </m:oMath>
                </m:oMathPara>
              </a14:m>
              <a:endParaRPr lang="en-ID" sz="1200" i="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8F7A54F2-4696-4A89-8A5F-AE5CA71A264C}"/>
                </a:ext>
              </a:extLst>
            </xdr:cNvPr>
            <xdr:cNvSpPr txBox="1"/>
          </xdr:nvSpPr>
          <xdr:spPr>
            <a:xfrm>
              <a:off x="1685925" y="58124725"/>
              <a:ext cx="2574872" cy="3788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0" i="0">
                  <a:latin typeface="Cambria Math" panose="02040503050406030204" pitchFamily="18" charset="0"/>
                </a:rPr>
                <a:t>CED=  </a:t>
              </a:r>
              <a:r>
                <a:rPr lang="en-ID" sz="1200" b="0" i="0">
                  <a:latin typeface="Cambria Math" panose="02040503050406030204" pitchFamily="18" charset="0"/>
                </a:rPr>
                <a:t>(</a:t>
              </a:r>
              <a:r>
                <a:rPr lang="en-US" sz="1200" b="0" i="0">
                  <a:latin typeface="Cambria Math" panose="02040503050406030204" pitchFamily="18" charset="0"/>
                </a:rPr>
                <a:t>Jumlah skor yang diungkapkan</a:t>
              </a:r>
              <a:r>
                <a:rPr lang="en-ID" sz="1200" b="0" i="0">
                  <a:latin typeface="Cambria Math" panose="02040503050406030204" pitchFamily="18" charset="0"/>
                </a:rPr>
                <a:t>)/(</a:t>
              </a:r>
              <a:r>
                <a:rPr lang="en-US" sz="1200" b="0" i="0">
                  <a:latin typeface="Cambria Math" panose="02040503050406030204" pitchFamily="18" charset="0"/>
                </a:rPr>
                <a:t>Jumlah total maksimum skor</a:t>
              </a:r>
              <a:r>
                <a:rPr lang="en-ID" sz="1200" b="0" i="0">
                  <a:latin typeface="Cambria Math" panose="02040503050406030204" pitchFamily="18" charset="0"/>
                </a:rPr>
                <a:t>)</a:t>
              </a:r>
              <a:endParaRPr lang="en-ID" sz="1200" i="0"/>
            </a:p>
          </xdr:txBody>
        </xdr:sp>
      </mc:Fallback>
    </mc:AlternateContent>
    <xdr:clientData/>
  </xdr:oneCellAnchor>
  <xdr:oneCellAnchor>
    <xdr:from>
      <xdr:col>2</xdr:col>
      <xdr:colOff>263525</xdr:colOff>
      <xdr:row>187</xdr:row>
      <xdr:rowOff>187325</xdr:rowOff>
    </xdr:from>
    <xdr:ext cx="2574872" cy="3788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3C5B2559-CC2D-4449-A5C8-DE8609C384B8}"/>
                </a:ext>
              </a:extLst>
            </xdr:cNvPr>
            <xdr:cNvSpPr txBox="1"/>
          </xdr:nvSpPr>
          <xdr:spPr>
            <a:xfrm>
              <a:off x="1685925" y="69903975"/>
              <a:ext cx="2574872" cy="3788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sz="1200" b="0" i="0">
                        <a:latin typeface="Cambria Math" panose="02040503050406030204" pitchFamily="18" charset="0"/>
                      </a:rPr>
                      <m:t>CED</m:t>
                    </m:r>
                    <m:r>
                      <a:rPr lang="en-US" sz="1200" b="0" i="0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n-ID" sz="12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Jumlah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skor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yang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diungkapkan</m:t>
                        </m:r>
                      </m:num>
                      <m:den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Jumlah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total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maksimum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skor</m:t>
                        </m:r>
                      </m:den>
                    </m:f>
                  </m:oMath>
                </m:oMathPara>
              </a14:m>
              <a:endParaRPr lang="en-ID" sz="1200" i="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3C5B2559-CC2D-4449-A5C8-DE8609C384B8}"/>
                </a:ext>
              </a:extLst>
            </xdr:cNvPr>
            <xdr:cNvSpPr txBox="1"/>
          </xdr:nvSpPr>
          <xdr:spPr>
            <a:xfrm>
              <a:off x="1685925" y="69903975"/>
              <a:ext cx="2574872" cy="3788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0" i="0">
                  <a:latin typeface="Cambria Math" panose="02040503050406030204" pitchFamily="18" charset="0"/>
                </a:rPr>
                <a:t>CED=  </a:t>
              </a:r>
              <a:r>
                <a:rPr lang="en-ID" sz="1200" b="0" i="0">
                  <a:latin typeface="Cambria Math" panose="02040503050406030204" pitchFamily="18" charset="0"/>
                </a:rPr>
                <a:t>(</a:t>
              </a:r>
              <a:r>
                <a:rPr lang="en-US" sz="1200" b="0" i="0">
                  <a:latin typeface="Cambria Math" panose="02040503050406030204" pitchFamily="18" charset="0"/>
                </a:rPr>
                <a:t>Jumlah skor yang diungkapkan</a:t>
              </a:r>
              <a:r>
                <a:rPr lang="en-ID" sz="1200" b="0" i="0">
                  <a:latin typeface="Cambria Math" panose="02040503050406030204" pitchFamily="18" charset="0"/>
                </a:rPr>
                <a:t>)/(</a:t>
              </a:r>
              <a:r>
                <a:rPr lang="en-US" sz="1200" b="0" i="0">
                  <a:latin typeface="Cambria Math" panose="02040503050406030204" pitchFamily="18" charset="0"/>
                </a:rPr>
                <a:t>Jumlah total maksimum skor</a:t>
              </a:r>
              <a:r>
                <a:rPr lang="en-ID" sz="1200" b="0" i="0">
                  <a:latin typeface="Cambria Math" panose="02040503050406030204" pitchFamily="18" charset="0"/>
                </a:rPr>
                <a:t>)</a:t>
              </a:r>
              <a:endParaRPr lang="en-ID" sz="1200" i="0"/>
            </a:p>
          </xdr:txBody>
        </xdr:sp>
      </mc:Fallback>
    </mc:AlternateContent>
    <xdr:clientData/>
  </xdr:oneCellAnchor>
  <xdr:oneCellAnchor>
    <xdr:from>
      <xdr:col>19</xdr:col>
      <xdr:colOff>612775</xdr:colOff>
      <xdr:row>28</xdr:row>
      <xdr:rowOff>242888</xdr:rowOff>
    </xdr:from>
    <xdr:ext cx="2574872" cy="3788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5DA8D16F-6187-4B63-AD22-4B5982301F5A}"/>
                </a:ext>
              </a:extLst>
            </xdr:cNvPr>
            <xdr:cNvSpPr txBox="1"/>
          </xdr:nvSpPr>
          <xdr:spPr>
            <a:xfrm>
              <a:off x="15114588" y="13038138"/>
              <a:ext cx="2574872" cy="3788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sz="1200" b="0" i="0">
                        <a:latin typeface="Cambria Math" panose="02040503050406030204" pitchFamily="18" charset="0"/>
                      </a:rPr>
                      <m:t>CED</m:t>
                    </m:r>
                    <m:r>
                      <a:rPr lang="en-US" sz="1200" b="0" i="0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n-ID" sz="12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Jumlah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skor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yang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diungkapkan</m:t>
                        </m:r>
                      </m:num>
                      <m:den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Jumlah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total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maksimum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skor</m:t>
                        </m:r>
                      </m:den>
                    </m:f>
                  </m:oMath>
                </m:oMathPara>
              </a14:m>
              <a:endParaRPr lang="en-ID" sz="1200" i="0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5DA8D16F-6187-4B63-AD22-4B5982301F5A}"/>
                </a:ext>
              </a:extLst>
            </xdr:cNvPr>
            <xdr:cNvSpPr txBox="1"/>
          </xdr:nvSpPr>
          <xdr:spPr>
            <a:xfrm>
              <a:off x="15114588" y="13038138"/>
              <a:ext cx="2574872" cy="3788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0" i="0">
                  <a:latin typeface="Cambria Math" panose="02040503050406030204" pitchFamily="18" charset="0"/>
                </a:rPr>
                <a:t>CED=  </a:t>
              </a:r>
              <a:r>
                <a:rPr lang="en-ID" sz="1200" b="0" i="0">
                  <a:latin typeface="Cambria Math" panose="02040503050406030204" pitchFamily="18" charset="0"/>
                </a:rPr>
                <a:t>(</a:t>
              </a:r>
              <a:r>
                <a:rPr lang="en-US" sz="1200" b="0" i="0">
                  <a:latin typeface="Cambria Math" panose="02040503050406030204" pitchFamily="18" charset="0"/>
                </a:rPr>
                <a:t>Jumlah skor yang diungkapkan</a:t>
              </a:r>
              <a:r>
                <a:rPr lang="en-ID" sz="1200" b="0" i="0">
                  <a:latin typeface="Cambria Math" panose="02040503050406030204" pitchFamily="18" charset="0"/>
                </a:rPr>
                <a:t>)/(</a:t>
              </a:r>
              <a:r>
                <a:rPr lang="en-US" sz="1200" b="0" i="0">
                  <a:latin typeface="Cambria Math" panose="02040503050406030204" pitchFamily="18" charset="0"/>
                </a:rPr>
                <a:t>Jumlah total maksimum skor</a:t>
              </a:r>
              <a:r>
                <a:rPr lang="en-ID" sz="1200" b="0" i="0">
                  <a:latin typeface="Cambria Math" panose="02040503050406030204" pitchFamily="18" charset="0"/>
                </a:rPr>
                <a:t>)</a:t>
              </a:r>
              <a:endParaRPr lang="en-ID" sz="1200" i="0"/>
            </a:p>
          </xdr:txBody>
        </xdr:sp>
      </mc:Fallback>
    </mc:AlternateContent>
    <xdr:clientData/>
  </xdr:oneCellAnchor>
  <xdr:oneCellAnchor>
    <xdr:from>
      <xdr:col>19</xdr:col>
      <xdr:colOff>612775</xdr:colOff>
      <xdr:row>57</xdr:row>
      <xdr:rowOff>250825</xdr:rowOff>
    </xdr:from>
    <xdr:ext cx="2574872" cy="3788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49192BBE-723B-47F9-8BAC-CA025E575C2B}"/>
                </a:ext>
              </a:extLst>
            </xdr:cNvPr>
            <xdr:cNvSpPr txBox="1"/>
          </xdr:nvSpPr>
          <xdr:spPr>
            <a:xfrm>
              <a:off x="15114588" y="33659763"/>
              <a:ext cx="2574872" cy="3788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sz="1200" b="0" i="0">
                        <a:latin typeface="Cambria Math" panose="02040503050406030204" pitchFamily="18" charset="0"/>
                      </a:rPr>
                      <m:t>CED</m:t>
                    </m:r>
                    <m:r>
                      <a:rPr lang="en-US" sz="1200" b="0" i="0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n-ID" sz="12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Jumlah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skor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yang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diungkapkan</m:t>
                        </m:r>
                      </m:num>
                      <m:den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Jumlah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total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maksimum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skor</m:t>
                        </m:r>
                      </m:den>
                    </m:f>
                  </m:oMath>
                </m:oMathPara>
              </a14:m>
              <a:endParaRPr lang="en-ID" sz="1200" i="0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49192BBE-723B-47F9-8BAC-CA025E575C2B}"/>
                </a:ext>
              </a:extLst>
            </xdr:cNvPr>
            <xdr:cNvSpPr txBox="1"/>
          </xdr:nvSpPr>
          <xdr:spPr>
            <a:xfrm>
              <a:off x="15114588" y="33659763"/>
              <a:ext cx="2574872" cy="3788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0" i="0">
                  <a:latin typeface="Cambria Math" panose="02040503050406030204" pitchFamily="18" charset="0"/>
                </a:rPr>
                <a:t>CED=  </a:t>
              </a:r>
              <a:r>
                <a:rPr lang="en-ID" sz="1200" b="0" i="0">
                  <a:latin typeface="Cambria Math" panose="02040503050406030204" pitchFamily="18" charset="0"/>
                </a:rPr>
                <a:t>(</a:t>
              </a:r>
              <a:r>
                <a:rPr lang="en-US" sz="1200" b="0" i="0">
                  <a:latin typeface="Cambria Math" panose="02040503050406030204" pitchFamily="18" charset="0"/>
                </a:rPr>
                <a:t>Jumlah skor yang diungkapkan</a:t>
              </a:r>
              <a:r>
                <a:rPr lang="en-ID" sz="1200" b="0" i="0">
                  <a:latin typeface="Cambria Math" panose="02040503050406030204" pitchFamily="18" charset="0"/>
                </a:rPr>
                <a:t>)/(</a:t>
              </a:r>
              <a:r>
                <a:rPr lang="en-US" sz="1200" b="0" i="0">
                  <a:latin typeface="Cambria Math" panose="02040503050406030204" pitchFamily="18" charset="0"/>
                </a:rPr>
                <a:t>Jumlah total maksimum skor</a:t>
              </a:r>
              <a:r>
                <a:rPr lang="en-ID" sz="1200" b="0" i="0">
                  <a:latin typeface="Cambria Math" panose="02040503050406030204" pitchFamily="18" charset="0"/>
                </a:rPr>
                <a:t>)</a:t>
              </a:r>
              <a:endParaRPr lang="en-ID" sz="1200" i="0"/>
            </a:p>
          </xdr:txBody>
        </xdr:sp>
      </mc:Fallback>
    </mc:AlternateContent>
    <xdr:clientData/>
  </xdr:oneCellAnchor>
  <xdr:oneCellAnchor>
    <xdr:from>
      <xdr:col>20</xdr:col>
      <xdr:colOff>9525</xdr:colOff>
      <xdr:row>86</xdr:row>
      <xdr:rowOff>227013</xdr:rowOff>
    </xdr:from>
    <xdr:ext cx="2574872" cy="3788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7F5404DD-FEBB-4E41-A93E-1038D9D5328F}"/>
                </a:ext>
              </a:extLst>
            </xdr:cNvPr>
            <xdr:cNvSpPr txBox="1"/>
          </xdr:nvSpPr>
          <xdr:spPr>
            <a:xfrm>
              <a:off x="15138400" y="50122138"/>
              <a:ext cx="2574872" cy="3788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sz="1200" b="0" i="0">
                        <a:latin typeface="Cambria Math" panose="02040503050406030204" pitchFamily="18" charset="0"/>
                      </a:rPr>
                      <m:t>CED</m:t>
                    </m:r>
                    <m:r>
                      <a:rPr lang="en-US" sz="1200" b="0" i="0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n-ID" sz="12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Jumlah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skor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yang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diungkapkan</m:t>
                        </m:r>
                      </m:num>
                      <m:den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Jumlah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total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maksimum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skor</m:t>
                        </m:r>
                      </m:den>
                    </m:f>
                  </m:oMath>
                </m:oMathPara>
              </a14:m>
              <a:endParaRPr lang="en-ID" sz="1200" i="0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7F5404DD-FEBB-4E41-A93E-1038D9D5328F}"/>
                </a:ext>
              </a:extLst>
            </xdr:cNvPr>
            <xdr:cNvSpPr txBox="1"/>
          </xdr:nvSpPr>
          <xdr:spPr>
            <a:xfrm>
              <a:off x="15138400" y="50122138"/>
              <a:ext cx="2574872" cy="3788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0" i="0">
                  <a:latin typeface="Cambria Math" panose="02040503050406030204" pitchFamily="18" charset="0"/>
                </a:rPr>
                <a:t>CED=  </a:t>
              </a:r>
              <a:r>
                <a:rPr lang="en-ID" sz="1200" b="0" i="0">
                  <a:latin typeface="Cambria Math" panose="02040503050406030204" pitchFamily="18" charset="0"/>
                </a:rPr>
                <a:t>(</a:t>
              </a:r>
              <a:r>
                <a:rPr lang="en-US" sz="1200" b="0" i="0">
                  <a:latin typeface="Cambria Math" panose="02040503050406030204" pitchFamily="18" charset="0"/>
                </a:rPr>
                <a:t>Jumlah skor yang diungkapkan</a:t>
              </a:r>
              <a:r>
                <a:rPr lang="en-ID" sz="1200" b="0" i="0">
                  <a:latin typeface="Cambria Math" panose="02040503050406030204" pitchFamily="18" charset="0"/>
                </a:rPr>
                <a:t>)/(</a:t>
              </a:r>
              <a:r>
                <a:rPr lang="en-US" sz="1200" b="0" i="0">
                  <a:latin typeface="Cambria Math" panose="02040503050406030204" pitchFamily="18" charset="0"/>
                </a:rPr>
                <a:t>Jumlah total maksimum skor</a:t>
              </a:r>
              <a:r>
                <a:rPr lang="en-ID" sz="1200" b="0" i="0">
                  <a:latin typeface="Cambria Math" panose="02040503050406030204" pitchFamily="18" charset="0"/>
                </a:rPr>
                <a:t>)</a:t>
              </a:r>
              <a:endParaRPr lang="en-ID" sz="1200" i="0"/>
            </a:p>
          </xdr:txBody>
        </xdr:sp>
      </mc:Fallback>
    </mc:AlternateContent>
    <xdr:clientData/>
  </xdr:oneCellAnchor>
  <xdr:oneCellAnchor>
    <xdr:from>
      <xdr:col>20</xdr:col>
      <xdr:colOff>9525</xdr:colOff>
      <xdr:row>113</xdr:row>
      <xdr:rowOff>227013</xdr:rowOff>
    </xdr:from>
    <xdr:ext cx="2574872" cy="3788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24E18490-EB1B-4525-9DCE-C1B5E00DA24A}"/>
                </a:ext>
              </a:extLst>
            </xdr:cNvPr>
            <xdr:cNvSpPr txBox="1"/>
          </xdr:nvSpPr>
          <xdr:spPr>
            <a:xfrm>
              <a:off x="15138400" y="51082576"/>
              <a:ext cx="2574872" cy="3788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sz="1200" b="0" i="0">
                        <a:latin typeface="Cambria Math" panose="02040503050406030204" pitchFamily="18" charset="0"/>
                      </a:rPr>
                      <m:t>CED</m:t>
                    </m:r>
                    <m:r>
                      <a:rPr lang="en-US" sz="1200" b="0" i="0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n-ID" sz="12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Jumlah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skor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yang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diungkapkan</m:t>
                        </m:r>
                      </m:num>
                      <m:den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Jumlah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total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maksimum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skor</m:t>
                        </m:r>
                      </m:den>
                    </m:f>
                  </m:oMath>
                </m:oMathPara>
              </a14:m>
              <a:endParaRPr lang="en-ID" sz="1200" i="0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24E18490-EB1B-4525-9DCE-C1B5E00DA24A}"/>
                </a:ext>
              </a:extLst>
            </xdr:cNvPr>
            <xdr:cNvSpPr txBox="1"/>
          </xdr:nvSpPr>
          <xdr:spPr>
            <a:xfrm>
              <a:off x="15138400" y="51082576"/>
              <a:ext cx="2574872" cy="3788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0" i="0">
                  <a:latin typeface="Cambria Math" panose="02040503050406030204" pitchFamily="18" charset="0"/>
                </a:rPr>
                <a:t>CED=  </a:t>
              </a:r>
              <a:r>
                <a:rPr lang="en-ID" sz="1200" b="0" i="0">
                  <a:latin typeface="Cambria Math" panose="02040503050406030204" pitchFamily="18" charset="0"/>
                </a:rPr>
                <a:t>(</a:t>
              </a:r>
              <a:r>
                <a:rPr lang="en-US" sz="1200" b="0" i="0">
                  <a:latin typeface="Cambria Math" panose="02040503050406030204" pitchFamily="18" charset="0"/>
                </a:rPr>
                <a:t>Jumlah skor yang diungkapkan</a:t>
              </a:r>
              <a:r>
                <a:rPr lang="en-ID" sz="1200" b="0" i="0">
                  <a:latin typeface="Cambria Math" panose="02040503050406030204" pitchFamily="18" charset="0"/>
                </a:rPr>
                <a:t>)/(</a:t>
              </a:r>
              <a:r>
                <a:rPr lang="en-US" sz="1200" b="0" i="0">
                  <a:latin typeface="Cambria Math" panose="02040503050406030204" pitchFamily="18" charset="0"/>
                </a:rPr>
                <a:t>Jumlah total maksimum skor</a:t>
              </a:r>
              <a:r>
                <a:rPr lang="en-ID" sz="1200" b="0" i="0">
                  <a:latin typeface="Cambria Math" panose="02040503050406030204" pitchFamily="18" charset="0"/>
                </a:rPr>
                <a:t>)</a:t>
              </a:r>
              <a:endParaRPr lang="en-ID" sz="1200" i="0"/>
            </a:p>
          </xdr:txBody>
        </xdr:sp>
      </mc:Fallback>
    </mc:AlternateContent>
    <xdr:clientData/>
  </xdr:oneCellAnchor>
  <xdr:oneCellAnchor>
    <xdr:from>
      <xdr:col>20</xdr:col>
      <xdr:colOff>9525</xdr:colOff>
      <xdr:row>142</xdr:row>
      <xdr:rowOff>227013</xdr:rowOff>
    </xdr:from>
    <xdr:ext cx="2574872" cy="3788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4DA83892-11EA-41B9-A0A7-E908E6D969CE}"/>
                </a:ext>
              </a:extLst>
            </xdr:cNvPr>
            <xdr:cNvSpPr txBox="1"/>
          </xdr:nvSpPr>
          <xdr:spPr>
            <a:xfrm>
              <a:off x="15138400" y="51082576"/>
              <a:ext cx="2574872" cy="3788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sz="1200" b="0" i="0">
                        <a:latin typeface="Cambria Math" panose="02040503050406030204" pitchFamily="18" charset="0"/>
                      </a:rPr>
                      <m:t>CED</m:t>
                    </m:r>
                    <m:r>
                      <a:rPr lang="en-US" sz="1200" b="0" i="0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n-ID" sz="12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Jumlah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skor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yang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diungkapkan</m:t>
                        </m:r>
                      </m:num>
                      <m:den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Jumlah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total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maksimum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skor</m:t>
                        </m:r>
                      </m:den>
                    </m:f>
                  </m:oMath>
                </m:oMathPara>
              </a14:m>
              <a:endParaRPr lang="en-ID" sz="1200" i="0"/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4DA83892-11EA-41B9-A0A7-E908E6D969CE}"/>
                </a:ext>
              </a:extLst>
            </xdr:cNvPr>
            <xdr:cNvSpPr txBox="1"/>
          </xdr:nvSpPr>
          <xdr:spPr>
            <a:xfrm>
              <a:off x="15138400" y="51082576"/>
              <a:ext cx="2574872" cy="3788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0" i="0">
                  <a:latin typeface="Cambria Math" panose="02040503050406030204" pitchFamily="18" charset="0"/>
                </a:rPr>
                <a:t>CED=  </a:t>
              </a:r>
              <a:r>
                <a:rPr lang="en-ID" sz="1200" b="0" i="0">
                  <a:latin typeface="Cambria Math" panose="02040503050406030204" pitchFamily="18" charset="0"/>
                </a:rPr>
                <a:t>(</a:t>
              </a:r>
              <a:r>
                <a:rPr lang="en-US" sz="1200" b="0" i="0">
                  <a:latin typeface="Cambria Math" panose="02040503050406030204" pitchFamily="18" charset="0"/>
                </a:rPr>
                <a:t>Jumlah skor yang diungkapkan</a:t>
              </a:r>
              <a:r>
                <a:rPr lang="en-ID" sz="1200" b="0" i="0">
                  <a:latin typeface="Cambria Math" panose="02040503050406030204" pitchFamily="18" charset="0"/>
                </a:rPr>
                <a:t>)/(</a:t>
              </a:r>
              <a:r>
                <a:rPr lang="en-US" sz="1200" b="0" i="0">
                  <a:latin typeface="Cambria Math" panose="02040503050406030204" pitchFamily="18" charset="0"/>
                </a:rPr>
                <a:t>Jumlah total maksimum skor</a:t>
              </a:r>
              <a:r>
                <a:rPr lang="en-ID" sz="1200" b="0" i="0">
                  <a:latin typeface="Cambria Math" panose="02040503050406030204" pitchFamily="18" charset="0"/>
                </a:rPr>
                <a:t>)</a:t>
              </a:r>
              <a:endParaRPr lang="en-ID" sz="1200" i="0"/>
            </a:p>
          </xdr:txBody>
        </xdr:sp>
      </mc:Fallback>
    </mc:AlternateContent>
    <xdr:clientData/>
  </xdr:oneCellAnchor>
  <xdr:oneCellAnchor>
    <xdr:from>
      <xdr:col>20</xdr:col>
      <xdr:colOff>9525</xdr:colOff>
      <xdr:row>197</xdr:row>
      <xdr:rowOff>227013</xdr:rowOff>
    </xdr:from>
    <xdr:ext cx="2574872" cy="3788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3A7D5704-0210-4C98-AE75-8CEA41042FEB}"/>
                </a:ext>
              </a:extLst>
            </xdr:cNvPr>
            <xdr:cNvSpPr txBox="1"/>
          </xdr:nvSpPr>
          <xdr:spPr>
            <a:xfrm>
              <a:off x="15138400" y="85205888"/>
              <a:ext cx="2574872" cy="3788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sz="1200" b="0" i="0">
                        <a:latin typeface="Cambria Math" panose="02040503050406030204" pitchFamily="18" charset="0"/>
                      </a:rPr>
                      <m:t>CED</m:t>
                    </m:r>
                    <m:r>
                      <a:rPr lang="en-US" sz="1200" b="0" i="0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n-ID" sz="12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Jumlah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skor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yang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diungkapkan</m:t>
                        </m:r>
                      </m:num>
                      <m:den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Jumlah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total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maksimum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skor</m:t>
                        </m:r>
                      </m:den>
                    </m:f>
                  </m:oMath>
                </m:oMathPara>
              </a14:m>
              <a:endParaRPr lang="en-ID" sz="1200" i="0"/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3A7D5704-0210-4C98-AE75-8CEA41042FEB}"/>
                </a:ext>
              </a:extLst>
            </xdr:cNvPr>
            <xdr:cNvSpPr txBox="1"/>
          </xdr:nvSpPr>
          <xdr:spPr>
            <a:xfrm>
              <a:off x="15138400" y="85205888"/>
              <a:ext cx="2574872" cy="3788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0" i="0">
                  <a:latin typeface="Cambria Math" panose="02040503050406030204" pitchFamily="18" charset="0"/>
                </a:rPr>
                <a:t>CED=  </a:t>
              </a:r>
              <a:r>
                <a:rPr lang="en-ID" sz="1200" b="0" i="0">
                  <a:latin typeface="Cambria Math" panose="02040503050406030204" pitchFamily="18" charset="0"/>
                </a:rPr>
                <a:t>(</a:t>
              </a:r>
              <a:r>
                <a:rPr lang="en-US" sz="1200" b="0" i="0">
                  <a:latin typeface="Cambria Math" panose="02040503050406030204" pitchFamily="18" charset="0"/>
                </a:rPr>
                <a:t>Jumlah skor yang diungkapkan</a:t>
              </a:r>
              <a:r>
                <a:rPr lang="en-ID" sz="1200" b="0" i="0">
                  <a:latin typeface="Cambria Math" panose="02040503050406030204" pitchFamily="18" charset="0"/>
                </a:rPr>
                <a:t>)/(</a:t>
              </a:r>
              <a:r>
                <a:rPr lang="en-US" sz="1200" b="0" i="0">
                  <a:latin typeface="Cambria Math" panose="02040503050406030204" pitchFamily="18" charset="0"/>
                </a:rPr>
                <a:t>Jumlah total maksimum skor</a:t>
              </a:r>
              <a:r>
                <a:rPr lang="en-ID" sz="1200" b="0" i="0">
                  <a:latin typeface="Cambria Math" panose="02040503050406030204" pitchFamily="18" charset="0"/>
                </a:rPr>
                <a:t>)</a:t>
              </a:r>
              <a:endParaRPr lang="en-ID" sz="1200" i="0"/>
            </a:p>
          </xdr:txBody>
        </xdr:sp>
      </mc:Fallback>
    </mc:AlternateContent>
    <xdr:clientData/>
  </xdr:oneCellAnchor>
  <xdr:oneCellAnchor>
    <xdr:from>
      <xdr:col>20</xdr:col>
      <xdr:colOff>9525</xdr:colOff>
      <xdr:row>226</xdr:row>
      <xdr:rowOff>242888</xdr:rowOff>
    </xdr:from>
    <xdr:ext cx="2574872" cy="3788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1561E3F7-E09A-4EA7-B108-09766450A54F}"/>
                </a:ext>
              </a:extLst>
            </xdr:cNvPr>
            <xdr:cNvSpPr txBox="1"/>
          </xdr:nvSpPr>
          <xdr:spPr>
            <a:xfrm>
              <a:off x="15138400" y="118781513"/>
              <a:ext cx="2574872" cy="3788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sz="1200" b="0" i="0">
                        <a:latin typeface="Cambria Math" panose="02040503050406030204" pitchFamily="18" charset="0"/>
                      </a:rPr>
                      <m:t>CED</m:t>
                    </m:r>
                    <m:r>
                      <a:rPr lang="en-US" sz="1200" b="0" i="0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n-ID" sz="12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Jumlah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skor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yang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diungkapkan</m:t>
                        </m:r>
                      </m:num>
                      <m:den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Jumlah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total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maksimum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skor</m:t>
                        </m:r>
                      </m:den>
                    </m:f>
                  </m:oMath>
                </m:oMathPara>
              </a14:m>
              <a:endParaRPr lang="en-ID" sz="1200" i="0"/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1561E3F7-E09A-4EA7-B108-09766450A54F}"/>
                </a:ext>
              </a:extLst>
            </xdr:cNvPr>
            <xdr:cNvSpPr txBox="1"/>
          </xdr:nvSpPr>
          <xdr:spPr>
            <a:xfrm>
              <a:off x="15138400" y="118781513"/>
              <a:ext cx="2574872" cy="3788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0" i="0">
                  <a:latin typeface="Cambria Math" panose="02040503050406030204" pitchFamily="18" charset="0"/>
                </a:rPr>
                <a:t>CED=  </a:t>
              </a:r>
              <a:r>
                <a:rPr lang="en-ID" sz="1200" b="0" i="0">
                  <a:latin typeface="Cambria Math" panose="02040503050406030204" pitchFamily="18" charset="0"/>
                </a:rPr>
                <a:t>(</a:t>
              </a:r>
              <a:r>
                <a:rPr lang="en-US" sz="1200" b="0" i="0">
                  <a:latin typeface="Cambria Math" panose="02040503050406030204" pitchFamily="18" charset="0"/>
                </a:rPr>
                <a:t>Jumlah skor yang diungkapkan</a:t>
              </a:r>
              <a:r>
                <a:rPr lang="en-ID" sz="1200" b="0" i="0">
                  <a:latin typeface="Cambria Math" panose="02040503050406030204" pitchFamily="18" charset="0"/>
                </a:rPr>
                <a:t>)/(</a:t>
              </a:r>
              <a:r>
                <a:rPr lang="en-US" sz="1200" b="0" i="0">
                  <a:latin typeface="Cambria Math" panose="02040503050406030204" pitchFamily="18" charset="0"/>
                </a:rPr>
                <a:t>Jumlah total maksimum skor</a:t>
              </a:r>
              <a:r>
                <a:rPr lang="en-ID" sz="1200" b="0" i="0">
                  <a:latin typeface="Cambria Math" panose="02040503050406030204" pitchFamily="18" charset="0"/>
                </a:rPr>
                <a:t>)</a:t>
              </a:r>
              <a:endParaRPr lang="en-ID" sz="1200" i="0"/>
            </a:p>
          </xdr:txBody>
        </xdr:sp>
      </mc:Fallback>
    </mc:AlternateContent>
    <xdr:clientData/>
  </xdr:oneCellAnchor>
  <xdr:oneCellAnchor>
    <xdr:from>
      <xdr:col>20</xdr:col>
      <xdr:colOff>9525</xdr:colOff>
      <xdr:row>256</xdr:row>
      <xdr:rowOff>242888</xdr:rowOff>
    </xdr:from>
    <xdr:ext cx="2574872" cy="3788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FC6B60FE-B428-498A-934B-473860757456}"/>
                </a:ext>
              </a:extLst>
            </xdr:cNvPr>
            <xdr:cNvSpPr txBox="1"/>
          </xdr:nvSpPr>
          <xdr:spPr>
            <a:xfrm>
              <a:off x="15138400" y="118781513"/>
              <a:ext cx="2574872" cy="3788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sz="1200" b="0" i="0">
                        <a:latin typeface="Cambria Math" panose="02040503050406030204" pitchFamily="18" charset="0"/>
                      </a:rPr>
                      <m:t>CED</m:t>
                    </m:r>
                    <m:r>
                      <a:rPr lang="en-US" sz="1200" b="0" i="0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n-ID" sz="12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Jumlah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skor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yang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diungkapkan</m:t>
                        </m:r>
                      </m:num>
                      <m:den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Jumlah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total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maksimum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skor</m:t>
                        </m:r>
                      </m:den>
                    </m:f>
                  </m:oMath>
                </m:oMathPara>
              </a14:m>
              <a:endParaRPr lang="en-ID" sz="1200" i="0"/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FC6B60FE-B428-498A-934B-473860757456}"/>
                </a:ext>
              </a:extLst>
            </xdr:cNvPr>
            <xdr:cNvSpPr txBox="1"/>
          </xdr:nvSpPr>
          <xdr:spPr>
            <a:xfrm>
              <a:off x="15138400" y="118781513"/>
              <a:ext cx="2574872" cy="3788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0" i="0">
                  <a:latin typeface="Cambria Math" panose="02040503050406030204" pitchFamily="18" charset="0"/>
                </a:rPr>
                <a:t>CED=  </a:t>
              </a:r>
              <a:r>
                <a:rPr lang="en-ID" sz="1200" b="0" i="0">
                  <a:latin typeface="Cambria Math" panose="02040503050406030204" pitchFamily="18" charset="0"/>
                </a:rPr>
                <a:t>(</a:t>
              </a:r>
              <a:r>
                <a:rPr lang="en-US" sz="1200" b="0" i="0">
                  <a:latin typeface="Cambria Math" panose="02040503050406030204" pitchFamily="18" charset="0"/>
                </a:rPr>
                <a:t>Jumlah skor yang diungkapkan</a:t>
              </a:r>
              <a:r>
                <a:rPr lang="en-ID" sz="1200" b="0" i="0">
                  <a:latin typeface="Cambria Math" panose="02040503050406030204" pitchFamily="18" charset="0"/>
                </a:rPr>
                <a:t>)/(</a:t>
              </a:r>
              <a:r>
                <a:rPr lang="en-US" sz="1200" b="0" i="0">
                  <a:latin typeface="Cambria Math" panose="02040503050406030204" pitchFamily="18" charset="0"/>
                </a:rPr>
                <a:t>Jumlah total maksimum skor</a:t>
              </a:r>
              <a:r>
                <a:rPr lang="en-ID" sz="1200" b="0" i="0">
                  <a:latin typeface="Cambria Math" panose="02040503050406030204" pitchFamily="18" charset="0"/>
                </a:rPr>
                <a:t>)</a:t>
              </a:r>
              <a:endParaRPr lang="en-ID" sz="1200" i="0"/>
            </a:p>
          </xdr:txBody>
        </xdr:sp>
      </mc:Fallback>
    </mc:AlternateContent>
    <xdr:clientData/>
  </xdr:oneCellAnchor>
  <xdr:oneCellAnchor>
    <xdr:from>
      <xdr:col>20</xdr:col>
      <xdr:colOff>9525</xdr:colOff>
      <xdr:row>353</xdr:row>
      <xdr:rowOff>242888</xdr:rowOff>
    </xdr:from>
    <xdr:ext cx="2574872" cy="3788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3BC107D2-8DFF-453D-8439-B123C1BBA74E}"/>
                </a:ext>
              </a:extLst>
            </xdr:cNvPr>
            <xdr:cNvSpPr txBox="1"/>
          </xdr:nvSpPr>
          <xdr:spPr>
            <a:xfrm>
              <a:off x="15138400" y="133323013"/>
              <a:ext cx="2574872" cy="3788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sz="1200" b="0" i="0">
                        <a:latin typeface="Cambria Math" panose="02040503050406030204" pitchFamily="18" charset="0"/>
                      </a:rPr>
                      <m:t>CED</m:t>
                    </m:r>
                    <m:r>
                      <a:rPr lang="en-US" sz="1200" b="0" i="0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n-ID" sz="12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Jumlah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skor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yang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diungkapkan</m:t>
                        </m:r>
                      </m:num>
                      <m:den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Jumlah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total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maksimum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skor</m:t>
                        </m:r>
                      </m:den>
                    </m:f>
                  </m:oMath>
                </m:oMathPara>
              </a14:m>
              <a:endParaRPr lang="en-ID" sz="1200" i="0"/>
            </a:p>
          </xdr:txBody>
        </xdr:sp>
      </mc:Choice>
      <mc:Fallback xmlns="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3BC107D2-8DFF-453D-8439-B123C1BBA74E}"/>
                </a:ext>
              </a:extLst>
            </xdr:cNvPr>
            <xdr:cNvSpPr txBox="1"/>
          </xdr:nvSpPr>
          <xdr:spPr>
            <a:xfrm>
              <a:off x="15138400" y="133323013"/>
              <a:ext cx="2574872" cy="3788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0" i="0">
                  <a:latin typeface="Cambria Math" panose="02040503050406030204" pitchFamily="18" charset="0"/>
                </a:rPr>
                <a:t>CED=  </a:t>
              </a:r>
              <a:r>
                <a:rPr lang="en-ID" sz="1200" b="0" i="0">
                  <a:latin typeface="Cambria Math" panose="02040503050406030204" pitchFamily="18" charset="0"/>
                </a:rPr>
                <a:t>(</a:t>
              </a:r>
              <a:r>
                <a:rPr lang="en-US" sz="1200" b="0" i="0">
                  <a:latin typeface="Cambria Math" panose="02040503050406030204" pitchFamily="18" charset="0"/>
                </a:rPr>
                <a:t>Jumlah skor yang diungkapkan</a:t>
              </a:r>
              <a:r>
                <a:rPr lang="en-ID" sz="1200" b="0" i="0">
                  <a:latin typeface="Cambria Math" panose="02040503050406030204" pitchFamily="18" charset="0"/>
                </a:rPr>
                <a:t>)/(</a:t>
              </a:r>
              <a:r>
                <a:rPr lang="en-US" sz="1200" b="0" i="0">
                  <a:latin typeface="Cambria Math" panose="02040503050406030204" pitchFamily="18" charset="0"/>
                </a:rPr>
                <a:t>Jumlah total maksimum skor</a:t>
              </a:r>
              <a:r>
                <a:rPr lang="en-ID" sz="1200" b="0" i="0">
                  <a:latin typeface="Cambria Math" panose="02040503050406030204" pitchFamily="18" charset="0"/>
                </a:rPr>
                <a:t>)</a:t>
              </a:r>
              <a:endParaRPr lang="en-ID" sz="1200" i="0"/>
            </a:p>
          </xdr:txBody>
        </xdr:sp>
      </mc:Fallback>
    </mc:AlternateContent>
    <xdr:clientData/>
  </xdr:oneCellAnchor>
  <xdr:oneCellAnchor>
    <xdr:from>
      <xdr:col>36</xdr:col>
      <xdr:colOff>9525</xdr:colOff>
      <xdr:row>30</xdr:row>
      <xdr:rowOff>242888</xdr:rowOff>
    </xdr:from>
    <xdr:ext cx="2574872" cy="3788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B2A9BCB8-BE69-4E95-9AB9-104DEE37B804}"/>
                </a:ext>
              </a:extLst>
            </xdr:cNvPr>
            <xdr:cNvSpPr txBox="1"/>
          </xdr:nvSpPr>
          <xdr:spPr>
            <a:xfrm>
              <a:off x="15138400" y="147666076"/>
              <a:ext cx="2574872" cy="3788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sz="1200" b="0" i="0">
                        <a:latin typeface="Cambria Math" panose="02040503050406030204" pitchFamily="18" charset="0"/>
                      </a:rPr>
                      <m:t>CED</m:t>
                    </m:r>
                    <m:r>
                      <a:rPr lang="en-US" sz="1200" b="0" i="0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n-ID" sz="12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Jumlah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skor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yang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diungkapkan</m:t>
                        </m:r>
                      </m:num>
                      <m:den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Jumlah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total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maksimum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skor</m:t>
                        </m:r>
                      </m:den>
                    </m:f>
                  </m:oMath>
                </m:oMathPara>
              </a14:m>
              <a:endParaRPr lang="en-ID" sz="1200" i="0"/>
            </a:p>
          </xdr:txBody>
        </xdr:sp>
      </mc:Choice>
      <mc:Fallback xmlns="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B2A9BCB8-BE69-4E95-9AB9-104DEE37B804}"/>
                </a:ext>
              </a:extLst>
            </xdr:cNvPr>
            <xdr:cNvSpPr txBox="1"/>
          </xdr:nvSpPr>
          <xdr:spPr>
            <a:xfrm>
              <a:off x="15138400" y="147666076"/>
              <a:ext cx="2574872" cy="3788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0" i="0">
                  <a:latin typeface="Cambria Math" panose="02040503050406030204" pitchFamily="18" charset="0"/>
                </a:rPr>
                <a:t>CED=  </a:t>
              </a:r>
              <a:r>
                <a:rPr lang="en-ID" sz="1200" b="0" i="0">
                  <a:latin typeface="Cambria Math" panose="02040503050406030204" pitchFamily="18" charset="0"/>
                </a:rPr>
                <a:t>(</a:t>
              </a:r>
              <a:r>
                <a:rPr lang="en-US" sz="1200" b="0" i="0">
                  <a:latin typeface="Cambria Math" panose="02040503050406030204" pitchFamily="18" charset="0"/>
                </a:rPr>
                <a:t>Jumlah skor yang diungkapkan</a:t>
              </a:r>
              <a:r>
                <a:rPr lang="en-ID" sz="1200" b="0" i="0">
                  <a:latin typeface="Cambria Math" panose="02040503050406030204" pitchFamily="18" charset="0"/>
                </a:rPr>
                <a:t>)/(</a:t>
              </a:r>
              <a:r>
                <a:rPr lang="en-US" sz="1200" b="0" i="0">
                  <a:latin typeface="Cambria Math" panose="02040503050406030204" pitchFamily="18" charset="0"/>
                </a:rPr>
                <a:t>Jumlah total maksimum skor</a:t>
              </a:r>
              <a:r>
                <a:rPr lang="en-ID" sz="1200" b="0" i="0">
                  <a:latin typeface="Cambria Math" panose="02040503050406030204" pitchFamily="18" charset="0"/>
                </a:rPr>
                <a:t>)</a:t>
              </a:r>
              <a:endParaRPr lang="en-ID" sz="1200" i="0"/>
            </a:p>
          </xdr:txBody>
        </xdr:sp>
      </mc:Fallback>
    </mc:AlternateContent>
    <xdr:clientData/>
  </xdr:oneCellAnchor>
  <xdr:oneCellAnchor>
    <xdr:from>
      <xdr:col>36</xdr:col>
      <xdr:colOff>9525</xdr:colOff>
      <xdr:row>57</xdr:row>
      <xdr:rowOff>242888</xdr:rowOff>
    </xdr:from>
    <xdr:ext cx="2574872" cy="3788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90BE1669-5F35-4877-B974-CA5B4389B529}"/>
                </a:ext>
              </a:extLst>
            </xdr:cNvPr>
            <xdr:cNvSpPr txBox="1"/>
          </xdr:nvSpPr>
          <xdr:spPr>
            <a:xfrm>
              <a:off x="26242963" y="16356013"/>
              <a:ext cx="2574872" cy="3788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sz="1200" b="0" i="0">
                        <a:latin typeface="Cambria Math" panose="02040503050406030204" pitchFamily="18" charset="0"/>
                      </a:rPr>
                      <m:t>CED</m:t>
                    </m:r>
                    <m:r>
                      <a:rPr lang="en-US" sz="1200" b="0" i="0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n-ID" sz="12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Jumlah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skor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yang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diungkapkan</m:t>
                        </m:r>
                      </m:num>
                      <m:den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Jumlah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total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maksimum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skor</m:t>
                        </m:r>
                      </m:den>
                    </m:f>
                  </m:oMath>
                </m:oMathPara>
              </a14:m>
              <a:endParaRPr lang="en-ID" sz="1200" i="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90BE1669-5F35-4877-B974-CA5B4389B529}"/>
                </a:ext>
              </a:extLst>
            </xdr:cNvPr>
            <xdr:cNvSpPr txBox="1"/>
          </xdr:nvSpPr>
          <xdr:spPr>
            <a:xfrm>
              <a:off x="26242963" y="16356013"/>
              <a:ext cx="2574872" cy="3788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0" i="0">
                  <a:latin typeface="Cambria Math" panose="02040503050406030204" pitchFamily="18" charset="0"/>
                </a:rPr>
                <a:t>CED=  </a:t>
              </a:r>
              <a:r>
                <a:rPr lang="en-ID" sz="1200" b="0" i="0">
                  <a:latin typeface="Cambria Math" panose="02040503050406030204" pitchFamily="18" charset="0"/>
                </a:rPr>
                <a:t>(</a:t>
              </a:r>
              <a:r>
                <a:rPr lang="en-US" sz="1200" b="0" i="0">
                  <a:latin typeface="Cambria Math" panose="02040503050406030204" pitchFamily="18" charset="0"/>
                </a:rPr>
                <a:t>Jumlah skor yang diungkapkan</a:t>
              </a:r>
              <a:r>
                <a:rPr lang="en-ID" sz="1200" b="0" i="0">
                  <a:latin typeface="Cambria Math" panose="02040503050406030204" pitchFamily="18" charset="0"/>
                </a:rPr>
                <a:t>)/(</a:t>
              </a:r>
              <a:r>
                <a:rPr lang="en-US" sz="1200" b="0" i="0">
                  <a:latin typeface="Cambria Math" panose="02040503050406030204" pitchFamily="18" charset="0"/>
                </a:rPr>
                <a:t>Jumlah total maksimum skor</a:t>
              </a:r>
              <a:r>
                <a:rPr lang="en-ID" sz="1200" b="0" i="0">
                  <a:latin typeface="Cambria Math" panose="02040503050406030204" pitchFamily="18" charset="0"/>
                </a:rPr>
                <a:t>)</a:t>
              </a:r>
              <a:endParaRPr lang="en-ID" sz="1200" i="0"/>
            </a:p>
          </xdr:txBody>
        </xdr:sp>
      </mc:Fallback>
    </mc:AlternateContent>
    <xdr:clientData/>
  </xdr:oneCellAnchor>
  <xdr:oneCellAnchor>
    <xdr:from>
      <xdr:col>36</xdr:col>
      <xdr:colOff>9525</xdr:colOff>
      <xdr:row>86</xdr:row>
      <xdr:rowOff>242888</xdr:rowOff>
    </xdr:from>
    <xdr:ext cx="2574872" cy="3788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855C96B6-904C-46CC-8EA5-786E8FFED556}"/>
                </a:ext>
              </a:extLst>
            </xdr:cNvPr>
            <xdr:cNvSpPr txBox="1"/>
          </xdr:nvSpPr>
          <xdr:spPr>
            <a:xfrm>
              <a:off x="26242963" y="16356013"/>
              <a:ext cx="2574872" cy="3788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sz="1200" b="0" i="0">
                        <a:latin typeface="Cambria Math" panose="02040503050406030204" pitchFamily="18" charset="0"/>
                      </a:rPr>
                      <m:t>CED</m:t>
                    </m:r>
                    <m:r>
                      <a:rPr lang="en-US" sz="1200" b="0" i="0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n-ID" sz="12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Jumlah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skor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yang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diungkapkan</m:t>
                        </m:r>
                      </m:num>
                      <m:den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Jumlah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total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maksimum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skor</m:t>
                        </m:r>
                      </m:den>
                    </m:f>
                  </m:oMath>
                </m:oMathPara>
              </a14:m>
              <a:endParaRPr lang="en-ID" sz="1200" i="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855C96B6-904C-46CC-8EA5-786E8FFED556}"/>
                </a:ext>
              </a:extLst>
            </xdr:cNvPr>
            <xdr:cNvSpPr txBox="1"/>
          </xdr:nvSpPr>
          <xdr:spPr>
            <a:xfrm>
              <a:off x="26242963" y="16356013"/>
              <a:ext cx="2574872" cy="3788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0" i="0">
                  <a:latin typeface="Cambria Math" panose="02040503050406030204" pitchFamily="18" charset="0"/>
                </a:rPr>
                <a:t>CED=  </a:t>
              </a:r>
              <a:r>
                <a:rPr lang="en-ID" sz="1200" b="0" i="0">
                  <a:latin typeface="Cambria Math" panose="02040503050406030204" pitchFamily="18" charset="0"/>
                </a:rPr>
                <a:t>(</a:t>
              </a:r>
              <a:r>
                <a:rPr lang="en-US" sz="1200" b="0" i="0">
                  <a:latin typeface="Cambria Math" panose="02040503050406030204" pitchFamily="18" charset="0"/>
                </a:rPr>
                <a:t>Jumlah skor yang diungkapkan</a:t>
              </a:r>
              <a:r>
                <a:rPr lang="en-ID" sz="1200" b="0" i="0">
                  <a:latin typeface="Cambria Math" panose="02040503050406030204" pitchFamily="18" charset="0"/>
                </a:rPr>
                <a:t>)/(</a:t>
              </a:r>
              <a:r>
                <a:rPr lang="en-US" sz="1200" b="0" i="0">
                  <a:latin typeface="Cambria Math" panose="02040503050406030204" pitchFamily="18" charset="0"/>
                </a:rPr>
                <a:t>Jumlah total maksimum skor</a:t>
              </a:r>
              <a:r>
                <a:rPr lang="en-ID" sz="1200" b="0" i="0">
                  <a:latin typeface="Cambria Math" panose="02040503050406030204" pitchFamily="18" charset="0"/>
                </a:rPr>
                <a:t>)</a:t>
              </a:r>
              <a:endParaRPr lang="en-ID" sz="1200" i="0"/>
            </a:p>
          </xdr:txBody>
        </xdr:sp>
      </mc:Fallback>
    </mc:AlternateContent>
    <xdr:clientData/>
  </xdr:oneCellAnchor>
  <xdr:oneCellAnchor>
    <xdr:from>
      <xdr:col>36</xdr:col>
      <xdr:colOff>9525</xdr:colOff>
      <xdr:row>113</xdr:row>
      <xdr:rowOff>242888</xdr:rowOff>
    </xdr:from>
    <xdr:ext cx="2574872" cy="3788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FB5DA107-D323-44EB-A1EE-F8D25C41F837}"/>
                </a:ext>
              </a:extLst>
            </xdr:cNvPr>
            <xdr:cNvSpPr txBox="1"/>
          </xdr:nvSpPr>
          <xdr:spPr>
            <a:xfrm>
              <a:off x="26242963" y="50288826"/>
              <a:ext cx="2574872" cy="3788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sz="1200" b="0" i="0">
                        <a:latin typeface="Cambria Math" panose="02040503050406030204" pitchFamily="18" charset="0"/>
                      </a:rPr>
                      <m:t>CED</m:t>
                    </m:r>
                    <m:r>
                      <a:rPr lang="en-US" sz="1200" b="0" i="0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n-ID" sz="12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Jumlah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skor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yang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diungkapkan</m:t>
                        </m:r>
                      </m:num>
                      <m:den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Jumlah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total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maksimum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skor</m:t>
                        </m:r>
                      </m:den>
                    </m:f>
                  </m:oMath>
                </m:oMathPara>
              </a14:m>
              <a:endParaRPr lang="en-ID" sz="1200" i="0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FB5DA107-D323-44EB-A1EE-F8D25C41F837}"/>
                </a:ext>
              </a:extLst>
            </xdr:cNvPr>
            <xdr:cNvSpPr txBox="1"/>
          </xdr:nvSpPr>
          <xdr:spPr>
            <a:xfrm>
              <a:off x="26242963" y="50288826"/>
              <a:ext cx="2574872" cy="3788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0" i="0">
                  <a:latin typeface="Cambria Math" panose="02040503050406030204" pitchFamily="18" charset="0"/>
                </a:rPr>
                <a:t>CED=  </a:t>
              </a:r>
              <a:r>
                <a:rPr lang="en-ID" sz="1200" b="0" i="0">
                  <a:latin typeface="Cambria Math" panose="02040503050406030204" pitchFamily="18" charset="0"/>
                </a:rPr>
                <a:t>(</a:t>
              </a:r>
              <a:r>
                <a:rPr lang="en-US" sz="1200" b="0" i="0">
                  <a:latin typeface="Cambria Math" panose="02040503050406030204" pitchFamily="18" charset="0"/>
                </a:rPr>
                <a:t>Jumlah skor yang diungkapkan</a:t>
              </a:r>
              <a:r>
                <a:rPr lang="en-ID" sz="1200" b="0" i="0">
                  <a:latin typeface="Cambria Math" panose="02040503050406030204" pitchFamily="18" charset="0"/>
                </a:rPr>
                <a:t>)/(</a:t>
              </a:r>
              <a:r>
                <a:rPr lang="en-US" sz="1200" b="0" i="0">
                  <a:latin typeface="Cambria Math" panose="02040503050406030204" pitchFamily="18" charset="0"/>
                </a:rPr>
                <a:t>Jumlah total maksimum skor</a:t>
              </a:r>
              <a:r>
                <a:rPr lang="en-ID" sz="1200" b="0" i="0">
                  <a:latin typeface="Cambria Math" panose="02040503050406030204" pitchFamily="18" charset="0"/>
                </a:rPr>
                <a:t>)</a:t>
              </a:r>
              <a:endParaRPr lang="en-ID" sz="1200" i="0"/>
            </a:p>
          </xdr:txBody>
        </xdr:sp>
      </mc:Fallback>
    </mc:AlternateContent>
    <xdr:clientData/>
  </xdr:oneCellAnchor>
  <xdr:oneCellAnchor>
    <xdr:from>
      <xdr:col>51</xdr:col>
      <xdr:colOff>9525</xdr:colOff>
      <xdr:row>30</xdr:row>
      <xdr:rowOff>242888</xdr:rowOff>
    </xdr:from>
    <xdr:ext cx="2574872" cy="3788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61EA49FF-9227-493E-82EF-850D3A845205}"/>
                </a:ext>
              </a:extLst>
            </xdr:cNvPr>
            <xdr:cNvSpPr txBox="1"/>
          </xdr:nvSpPr>
          <xdr:spPr>
            <a:xfrm>
              <a:off x="26242963" y="16356013"/>
              <a:ext cx="2574872" cy="3788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sz="1200" b="0" i="0">
                        <a:latin typeface="Cambria Math" panose="02040503050406030204" pitchFamily="18" charset="0"/>
                      </a:rPr>
                      <m:t>CED</m:t>
                    </m:r>
                    <m:r>
                      <a:rPr lang="en-US" sz="1200" b="0" i="0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n-ID" sz="12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Jumlah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skor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yang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diungkapkan</m:t>
                        </m:r>
                      </m:num>
                      <m:den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Jumlah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total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maksimum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skor</m:t>
                        </m:r>
                      </m:den>
                    </m:f>
                  </m:oMath>
                </m:oMathPara>
              </a14:m>
              <a:endParaRPr lang="en-ID" sz="1200" i="0"/>
            </a:p>
          </xdr:txBody>
        </xdr:sp>
      </mc:Choice>
      <mc:Fallback xmlns="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61EA49FF-9227-493E-82EF-850D3A845205}"/>
                </a:ext>
              </a:extLst>
            </xdr:cNvPr>
            <xdr:cNvSpPr txBox="1"/>
          </xdr:nvSpPr>
          <xdr:spPr>
            <a:xfrm>
              <a:off x="26242963" y="16356013"/>
              <a:ext cx="2574872" cy="3788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0" i="0">
                  <a:latin typeface="Cambria Math" panose="02040503050406030204" pitchFamily="18" charset="0"/>
                </a:rPr>
                <a:t>CED=  </a:t>
              </a:r>
              <a:r>
                <a:rPr lang="en-ID" sz="1200" b="0" i="0">
                  <a:latin typeface="Cambria Math" panose="02040503050406030204" pitchFamily="18" charset="0"/>
                </a:rPr>
                <a:t>(</a:t>
              </a:r>
              <a:r>
                <a:rPr lang="en-US" sz="1200" b="0" i="0">
                  <a:latin typeface="Cambria Math" panose="02040503050406030204" pitchFamily="18" charset="0"/>
                </a:rPr>
                <a:t>Jumlah skor yang diungkapkan</a:t>
              </a:r>
              <a:r>
                <a:rPr lang="en-ID" sz="1200" b="0" i="0">
                  <a:latin typeface="Cambria Math" panose="02040503050406030204" pitchFamily="18" charset="0"/>
                </a:rPr>
                <a:t>)/(</a:t>
              </a:r>
              <a:r>
                <a:rPr lang="en-US" sz="1200" b="0" i="0">
                  <a:latin typeface="Cambria Math" panose="02040503050406030204" pitchFamily="18" charset="0"/>
                </a:rPr>
                <a:t>Jumlah total maksimum skor</a:t>
              </a:r>
              <a:r>
                <a:rPr lang="en-ID" sz="1200" b="0" i="0">
                  <a:latin typeface="Cambria Math" panose="02040503050406030204" pitchFamily="18" charset="0"/>
                </a:rPr>
                <a:t>)</a:t>
              </a:r>
              <a:endParaRPr lang="en-ID" sz="1200" i="0"/>
            </a:p>
          </xdr:txBody>
        </xdr:sp>
      </mc:Fallback>
    </mc:AlternateContent>
    <xdr:clientData/>
  </xdr:oneCellAnchor>
  <xdr:oneCellAnchor>
    <xdr:from>
      <xdr:col>51</xdr:col>
      <xdr:colOff>9525</xdr:colOff>
      <xdr:row>57</xdr:row>
      <xdr:rowOff>242888</xdr:rowOff>
    </xdr:from>
    <xdr:ext cx="2574872" cy="3788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46C33311-9F58-4709-8AA0-19FC5F6D7DB3}"/>
                </a:ext>
              </a:extLst>
            </xdr:cNvPr>
            <xdr:cNvSpPr txBox="1"/>
          </xdr:nvSpPr>
          <xdr:spPr>
            <a:xfrm>
              <a:off x="39935150" y="14077951"/>
              <a:ext cx="2574872" cy="3788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sz="1200" b="0" i="0">
                        <a:latin typeface="Cambria Math" panose="02040503050406030204" pitchFamily="18" charset="0"/>
                      </a:rPr>
                      <m:t>CED</m:t>
                    </m:r>
                    <m:r>
                      <a:rPr lang="en-US" sz="1200" b="0" i="0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n-ID" sz="12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Jumlah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skor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yang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diungkapkan</m:t>
                        </m:r>
                      </m:num>
                      <m:den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Jumlah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total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maksimum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skor</m:t>
                        </m:r>
                      </m:den>
                    </m:f>
                  </m:oMath>
                </m:oMathPara>
              </a14:m>
              <a:endParaRPr lang="en-ID" sz="1200" i="0"/>
            </a:p>
          </xdr:txBody>
        </xdr:sp>
      </mc:Choice>
      <mc:Fallback xmlns="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46C33311-9F58-4709-8AA0-19FC5F6D7DB3}"/>
                </a:ext>
              </a:extLst>
            </xdr:cNvPr>
            <xdr:cNvSpPr txBox="1"/>
          </xdr:nvSpPr>
          <xdr:spPr>
            <a:xfrm>
              <a:off x="39935150" y="14077951"/>
              <a:ext cx="2574872" cy="3788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0" i="0">
                  <a:latin typeface="Cambria Math" panose="02040503050406030204" pitchFamily="18" charset="0"/>
                </a:rPr>
                <a:t>CED=  </a:t>
              </a:r>
              <a:r>
                <a:rPr lang="en-ID" sz="1200" b="0" i="0">
                  <a:latin typeface="Cambria Math" panose="02040503050406030204" pitchFamily="18" charset="0"/>
                </a:rPr>
                <a:t>(</a:t>
              </a:r>
              <a:r>
                <a:rPr lang="en-US" sz="1200" b="0" i="0">
                  <a:latin typeface="Cambria Math" panose="02040503050406030204" pitchFamily="18" charset="0"/>
                </a:rPr>
                <a:t>Jumlah skor yang diungkapkan</a:t>
              </a:r>
              <a:r>
                <a:rPr lang="en-ID" sz="1200" b="0" i="0">
                  <a:latin typeface="Cambria Math" panose="02040503050406030204" pitchFamily="18" charset="0"/>
                </a:rPr>
                <a:t>)/(</a:t>
              </a:r>
              <a:r>
                <a:rPr lang="en-US" sz="1200" b="0" i="0">
                  <a:latin typeface="Cambria Math" panose="02040503050406030204" pitchFamily="18" charset="0"/>
                </a:rPr>
                <a:t>Jumlah total maksimum skor</a:t>
              </a:r>
              <a:r>
                <a:rPr lang="en-ID" sz="1200" b="0" i="0">
                  <a:latin typeface="Cambria Math" panose="02040503050406030204" pitchFamily="18" charset="0"/>
                </a:rPr>
                <a:t>)</a:t>
              </a:r>
              <a:endParaRPr lang="en-ID" sz="1200" i="0"/>
            </a:p>
          </xdr:txBody>
        </xdr:sp>
      </mc:Fallback>
    </mc:AlternateContent>
    <xdr:clientData/>
  </xdr:oneCellAnchor>
  <xdr:oneCellAnchor>
    <xdr:from>
      <xdr:col>51</xdr:col>
      <xdr:colOff>9525</xdr:colOff>
      <xdr:row>84</xdr:row>
      <xdr:rowOff>242888</xdr:rowOff>
    </xdr:from>
    <xdr:ext cx="2574872" cy="3788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F19045EF-AA7C-48F2-8E4F-ECCC752A6AF3}"/>
                </a:ext>
              </a:extLst>
            </xdr:cNvPr>
            <xdr:cNvSpPr txBox="1"/>
          </xdr:nvSpPr>
          <xdr:spPr>
            <a:xfrm>
              <a:off x="39935150" y="30318076"/>
              <a:ext cx="2574872" cy="3788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sz="1200" b="0" i="0">
                        <a:latin typeface="Cambria Math" panose="02040503050406030204" pitchFamily="18" charset="0"/>
                      </a:rPr>
                      <m:t>CED</m:t>
                    </m:r>
                    <m:r>
                      <a:rPr lang="en-US" sz="1200" b="0" i="0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n-ID" sz="12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Jumlah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skor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yang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diungkapkan</m:t>
                        </m:r>
                      </m:num>
                      <m:den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Jumlah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total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maksimum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skor</m:t>
                        </m:r>
                      </m:den>
                    </m:f>
                  </m:oMath>
                </m:oMathPara>
              </a14:m>
              <a:endParaRPr lang="en-ID" sz="1200" i="0"/>
            </a:p>
          </xdr:txBody>
        </xdr:sp>
      </mc:Choice>
      <mc:Fallback xmlns="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F19045EF-AA7C-48F2-8E4F-ECCC752A6AF3}"/>
                </a:ext>
              </a:extLst>
            </xdr:cNvPr>
            <xdr:cNvSpPr txBox="1"/>
          </xdr:nvSpPr>
          <xdr:spPr>
            <a:xfrm>
              <a:off x="39935150" y="30318076"/>
              <a:ext cx="2574872" cy="3788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0" i="0">
                  <a:latin typeface="Cambria Math" panose="02040503050406030204" pitchFamily="18" charset="0"/>
                </a:rPr>
                <a:t>CED=  </a:t>
              </a:r>
              <a:r>
                <a:rPr lang="en-ID" sz="1200" b="0" i="0">
                  <a:latin typeface="Cambria Math" panose="02040503050406030204" pitchFamily="18" charset="0"/>
                </a:rPr>
                <a:t>(</a:t>
              </a:r>
              <a:r>
                <a:rPr lang="en-US" sz="1200" b="0" i="0">
                  <a:latin typeface="Cambria Math" panose="02040503050406030204" pitchFamily="18" charset="0"/>
                </a:rPr>
                <a:t>Jumlah skor yang diungkapkan</a:t>
              </a:r>
              <a:r>
                <a:rPr lang="en-ID" sz="1200" b="0" i="0">
                  <a:latin typeface="Cambria Math" panose="02040503050406030204" pitchFamily="18" charset="0"/>
                </a:rPr>
                <a:t>)/(</a:t>
              </a:r>
              <a:r>
                <a:rPr lang="en-US" sz="1200" b="0" i="0">
                  <a:latin typeface="Cambria Math" panose="02040503050406030204" pitchFamily="18" charset="0"/>
                </a:rPr>
                <a:t>Jumlah total maksimum skor</a:t>
              </a:r>
              <a:r>
                <a:rPr lang="en-ID" sz="1200" b="0" i="0">
                  <a:latin typeface="Cambria Math" panose="02040503050406030204" pitchFamily="18" charset="0"/>
                </a:rPr>
                <a:t>)</a:t>
              </a:r>
              <a:endParaRPr lang="en-ID" sz="1200" i="0"/>
            </a:p>
          </xdr:txBody>
        </xdr:sp>
      </mc:Fallback>
    </mc:AlternateContent>
    <xdr:clientData/>
  </xdr:oneCellAnchor>
  <xdr:oneCellAnchor>
    <xdr:from>
      <xdr:col>51</xdr:col>
      <xdr:colOff>9525</xdr:colOff>
      <xdr:row>140</xdr:row>
      <xdr:rowOff>242888</xdr:rowOff>
    </xdr:from>
    <xdr:ext cx="2574872" cy="3788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89499D77-5590-4F57-BDB5-4CBBB8C0D672}"/>
                </a:ext>
              </a:extLst>
            </xdr:cNvPr>
            <xdr:cNvSpPr txBox="1"/>
          </xdr:nvSpPr>
          <xdr:spPr>
            <a:xfrm>
              <a:off x="39935150" y="46621701"/>
              <a:ext cx="2574872" cy="3788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sz="1200" b="0" i="0">
                        <a:latin typeface="Cambria Math" panose="02040503050406030204" pitchFamily="18" charset="0"/>
                      </a:rPr>
                      <m:t>CED</m:t>
                    </m:r>
                    <m:r>
                      <a:rPr lang="en-US" sz="1200" b="0" i="0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n-ID" sz="12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Jumlah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skor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yang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diungkapkan</m:t>
                        </m:r>
                      </m:num>
                      <m:den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Jumlah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total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maksimum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skor</m:t>
                        </m:r>
                      </m:den>
                    </m:f>
                  </m:oMath>
                </m:oMathPara>
              </a14:m>
              <a:endParaRPr lang="en-ID" sz="1200" i="0"/>
            </a:p>
          </xdr:txBody>
        </xdr:sp>
      </mc:Choice>
      <mc:Fallback xmlns="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89499D77-5590-4F57-BDB5-4CBBB8C0D672}"/>
                </a:ext>
              </a:extLst>
            </xdr:cNvPr>
            <xdr:cNvSpPr txBox="1"/>
          </xdr:nvSpPr>
          <xdr:spPr>
            <a:xfrm>
              <a:off x="39935150" y="46621701"/>
              <a:ext cx="2574872" cy="3788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0" i="0">
                  <a:latin typeface="Cambria Math" panose="02040503050406030204" pitchFamily="18" charset="0"/>
                </a:rPr>
                <a:t>CED=  </a:t>
              </a:r>
              <a:r>
                <a:rPr lang="en-ID" sz="1200" b="0" i="0">
                  <a:latin typeface="Cambria Math" panose="02040503050406030204" pitchFamily="18" charset="0"/>
                </a:rPr>
                <a:t>(</a:t>
              </a:r>
              <a:r>
                <a:rPr lang="en-US" sz="1200" b="0" i="0">
                  <a:latin typeface="Cambria Math" panose="02040503050406030204" pitchFamily="18" charset="0"/>
                </a:rPr>
                <a:t>Jumlah skor yang diungkapkan</a:t>
              </a:r>
              <a:r>
                <a:rPr lang="en-ID" sz="1200" b="0" i="0">
                  <a:latin typeface="Cambria Math" panose="02040503050406030204" pitchFamily="18" charset="0"/>
                </a:rPr>
                <a:t>)/(</a:t>
              </a:r>
              <a:r>
                <a:rPr lang="en-US" sz="1200" b="0" i="0">
                  <a:latin typeface="Cambria Math" panose="02040503050406030204" pitchFamily="18" charset="0"/>
                </a:rPr>
                <a:t>Jumlah total maksimum skor</a:t>
              </a:r>
              <a:r>
                <a:rPr lang="en-ID" sz="1200" b="0" i="0">
                  <a:latin typeface="Cambria Math" panose="02040503050406030204" pitchFamily="18" charset="0"/>
                </a:rPr>
                <a:t>)</a:t>
              </a:r>
              <a:endParaRPr lang="en-ID" sz="1200" i="0"/>
            </a:p>
          </xdr:txBody>
        </xdr:sp>
      </mc:Fallback>
    </mc:AlternateContent>
    <xdr:clientData/>
  </xdr:oneCellAnchor>
  <xdr:oneCellAnchor>
    <xdr:from>
      <xdr:col>51</xdr:col>
      <xdr:colOff>9525</xdr:colOff>
      <xdr:row>168</xdr:row>
      <xdr:rowOff>242888</xdr:rowOff>
    </xdr:from>
    <xdr:ext cx="2574872" cy="3788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F95DF2A0-1055-4BCD-B0B7-6D3E36A0EA71}"/>
                </a:ext>
              </a:extLst>
            </xdr:cNvPr>
            <xdr:cNvSpPr txBox="1"/>
          </xdr:nvSpPr>
          <xdr:spPr>
            <a:xfrm>
              <a:off x="39935150" y="64592201"/>
              <a:ext cx="2574872" cy="3788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sz="1200" b="0" i="0">
                        <a:latin typeface="Cambria Math" panose="02040503050406030204" pitchFamily="18" charset="0"/>
                      </a:rPr>
                      <m:t>CED</m:t>
                    </m:r>
                    <m:r>
                      <a:rPr lang="en-US" sz="1200" b="0" i="0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n-ID" sz="12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Jumlah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skor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yang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diungkapkan</m:t>
                        </m:r>
                      </m:num>
                      <m:den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Jumlah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total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maksimum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skor</m:t>
                        </m:r>
                      </m:den>
                    </m:f>
                  </m:oMath>
                </m:oMathPara>
              </a14:m>
              <a:endParaRPr lang="en-ID" sz="1200" i="0"/>
            </a:p>
          </xdr:txBody>
        </xdr:sp>
      </mc:Choice>
      <mc:Fallback xmlns="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F95DF2A0-1055-4BCD-B0B7-6D3E36A0EA71}"/>
                </a:ext>
              </a:extLst>
            </xdr:cNvPr>
            <xdr:cNvSpPr txBox="1"/>
          </xdr:nvSpPr>
          <xdr:spPr>
            <a:xfrm>
              <a:off x="39935150" y="64592201"/>
              <a:ext cx="2574872" cy="3788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0" i="0">
                  <a:latin typeface="Cambria Math" panose="02040503050406030204" pitchFamily="18" charset="0"/>
                </a:rPr>
                <a:t>CED=  </a:t>
              </a:r>
              <a:r>
                <a:rPr lang="en-ID" sz="1200" b="0" i="0">
                  <a:latin typeface="Cambria Math" panose="02040503050406030204" pitchFamily="18" charset="0"/>
                </a:rPr>
                <a:t>(</a:t>
              </a:r>
              <a:r>
                <a:rPr lang="en-US" sz="1200" b="0" i="0">
                  <a:latin typeface="Cambria Math" panose="02040503050406030204" pitchFamily="18" charset="0"/>
                </a:rPr>
                <a:t>Jumlah skor yang diungkapkan</a:t>
              </a:r>
              <a:r>
                <a:rPr lang="en-ID" sz="1200" b="0" i="0">
                  <a:latin typeface="Cambria Math" panose="02040503050406030204" pitchFamily="18" charset="0"/>
                </a:rPr>
                <a:t>)/(</a:t>
              </a:r>
              <a:r>
                <a:rPr lang="en-US" sz="1200" b="0" i="0">
                  <a:latin typeface="Cambria Math" panose="02040503050406030204" pitchFamily="18" charset="0"/>
                </a:rPr>
                <a:t>Jumlah total maksimum skor</a:t>
              </a:r>
              <a:r>
                <a:rPr lang="en-ID" sz="1200" b="0" i="0">
                  <a:latin typeface="Cambria Math" panose="02040503050406030204" pitchFamily="18" charset="0"/>
                </a:rPr>
                <a:t>)</a:t>
              </a:r>
              <a:endParaRPr lang="en-ID" sz="1200" i="0"/>
            </a:p>
          </xdr:txBody>
        </xdr:sp>
      </mc:Fallback>
    </mc:AlternateContent>
    <xdr:clientData/>
  </xdr:oneCellAnchor>
  <xdr:oneCellAnchor>
    <xdr:from>
      <xdr:col>51</xdr:col>
      <xdr:colOff>9525</xdr:colOff>
      <xdr:row>196</xdr:row>
      <xdr:rowOff>242888</xdr:rowOff>
    </xdr:from>
    <xdr:ext cx="2574872" cy="3788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66568807-889D-4443-BE5D-1065A365AB52}"/>
                </a:ext>
              </a:extLst>
            </xdr:cNvPr>
            <xdr:cNvSpPr txBox="1"/>
          </xdr:nvSpPr>
          <xdr:spPr>
            <a:xfrm>
              <a:off x="39935150" y="81181576"/>
              <a:ext cx="2574872" cy="3788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sz="1200" b="0" i="0">
                        <a:latin typeface="Cambria Math" panose="02040503050406030204" pitchFamily="18" charset="0"/>
                      </a:rPr>
                      <m:t>CED</m:t>
                    </m:r>
                    <m:r>
                      <a:rPr lang="en-US" sz="1200" b="0" i="0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n-ID" sz="12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Jumlah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skor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yang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diungkapkan</m:t>
                        </m:r>
                      </m:num>
                      <m:den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Jumlah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total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maksimum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skor</m:t>
                        </m:r>
                      </m:den>
                    </m:f>
                  </m:oMath>
                </m:oMathPara>
              </a14:m>
              <a:endParaRPr lang="en-ID" sz="1200" i="0"/>
            </a:p>
          </xdr:txBody>
        </xdr:sp>
      </mc:Choice>
      <mc:Fallback xmlns="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66568807-889D-4443-BE5D-1065A365AB52}"/>
                </a:ext>
              </a:extLst>
            </xdr:cNvPr>
            <xdr:cNvSpPr txBox="1"/>
          </xdr:nvSpPr>
          <xdr:spPr>
            <a:xfrm>
              <a:off x="39935150" y="81181576"/>
              <a:ext cx="2574872" cy="3788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0" i="0">
                  <a:latin typeface="Cambria Math" panose="02040503050406030204" pitchFamily="18" charset="0"/>
                </a:rPr>
                <a:t>CED=  </a:t>
              </a:r>
              <a:r>
                <a:rPr lang="en-ID" sz="1200" b="0" i="0">
                  <a:latin typeface="Cambria Math" panose="02040503050406030204" pitchFamily="18" charset="0"/>
                </a:rPr>
                <a:t>(</a:t>
              </a:r>
              <a:r>
                <a:rPr lang="en-US" sz="1200" b="0" i="0">
                  <a:latin typeface="Cambria Math" panose="02040503050406030204" pitchFamily="18" charset="0"/>
                </a:rPr>
                <a:t>Jumlah skor yang diungkapkan</a:t>
              </a:r>
              <a:r>
                <a:rPr lang="en-ID" sz="1200" b="0" i="0">
                  <a:latin typeface="Cambria Math" panose="02040503050406030204" pitchFamily="18" charset="0"/>
                </a:rPr>
                <a:t>)/(</a:t>
              </a:r>
              <a:r>
                <a:rPr lang="en-US" sz="1200" b="0" i="0">
                  <a:latin typeface="Cambria Math" panose="02040503050406030204" pitchFamily="18" charset="0"/>
                </a:rPr>
                <a:t>Jumlah total maksimum skor</a:t>
              </a:r>
              <a:r>
                <a:rPr lang="en-ID" sz="1200" b="0" i="0">
                  <a:latin typeface="Cambria Math" panose="02040503050406030204" pitchFamily="18" charset="0"/>
                </a:rPr>
                <a:t>)</a:t>
              </a:r>
              <a:endParaRPr lang="en-ID" sz="1200" i="0"/>
            </a:p>
          </xdr:txBody>
        </xdr:sp>
      </mc:Fallback>
    </mc:AlternateContent>
    <xdr:clientData/>
  </xdr:oneCellAnchor>
  <xdr:oneCellAnchor>
    <xdr:from>
      <xdr:col>20</xdr:col>
      <xdr:colOff>9525</xdr:colOff>
      <xdr:row>169</xdr:row>
      <xdr:rowOff>227013</xdr:rowOff>
    </xdr:from>
    <xdr:ext cx="2574872" cy="3788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9DAE2FC5-EE73-428F-B77B-CCC6C95DBB25}"/>
                </a:ext>
              </a:extLst>
            </xdr:cNvPr>
            <xdr:cNvSpPr txBox="1"/>
          </xdr:nvSpPr>
          <xdr:spPr>
            <a:xfrm>
              <a:off x="15138400" y="82737326"/>
              <a:ext cx="2574872" cy="3788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sz="1200" b="0" i="0">
                        <a:latin typeface="Cambria Math" panose="02040503050406030204" pitchFamily="18" charset="0"/>
                      </a:rPr>
                      <m:t>CED</m:t>
                    </m:r>
                    <m:r>
                      <a:rPr lang="en-US" sz="1200" b="0" i="0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n-ID" sz="12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Jumlah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skor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yang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diungkapkan</m:t>
                        </m:r>
                      </m:num>
                      <m:den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Jumlah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total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maksimum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skor</m:t>
                        </m:r>
                      </m:den>
                    </m:f>
                  </m:oMath>
                </m:oMathPara>
              </a14:m>
              <a:endParaRPr lang="en-ID" sz="1200" i="0"/>
            </a:p>
          </xdr:txBody>
        </xdr:sp>
      </mc:Choice>
      <mc:Fallback xmlns="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9DAE2FC5-EE73-428F-B77B-CCC6C95DBB25}"/>
                </a:ext>
              </a:extLst>
            </xdr:cNvPr>
            <xdr:cNvSpPr txBox="1"/>
          </xdr:nvSpPr>
          <xdr:spPr>
            <a:xfrm>
              <a:off x="15138400" y="82737326"/>
              <a:ext cx="2574872" cy="3788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0" i="0">
                  <a:latin typeface="Cambria Math" panose="02040503050406030204" pitchFamily="18" charset="0"/>
                </a:rPr>
                <a:t>CED=  </a:t>
              </a:r>
              <a:r>
                <a:rPr lang="en-ID" sz="1200" b="0" i="0">
                  <a:latin typeface="Cambria Math" panose="02040503050406030204" pitchFamily="18" charset="0"/>
                </a:rPr>
                <a:t>(</a:t>
              </a:r>
              <a:r>
                <a:rPr lang="en-US" sz="1200" b="0" i="0">
                  <a:latin typeface="Cambria Math" panose="02040503050406030204" pitchFamily="18" charset="0"/>
                </a:rPr>
                <a:t>Jumlah skor yang diungkapkan</a:t>
              </a:r>
              <a:r>
                <a:rPr lang="en-ID" sz="1200" b="0" i="0">
                  <a:latin typeface="Cambria Math" panose="02040503050406030204" pitchFamily="18" charset="0"/>
                </a:rPr>
                <a:t>)/(</a:t>
              </a:r>
              <a:r>
                <a:rPr lang="en-US" sz="1200" b="0" i="0">
                  <a:latin typeface="Cambria Math" panose="02040503050406030204" pitchFamily="18" charset="0"/>
                </a:rPr>
                <a:t>Jumlah total maksimum skor</a:t>
              </a:r>
              <a:r>
                <a:rPr lang="en-ID" sz="1200" b="0" i="0">
                  <a:latin typeface="Cambria Math" panose="02040503050406030204" pitchFamily="18" charset="0"/>
                </a:rPr>
                <a:t>)</a:t>
              </a:r>
              <a:endParaRPr lang="en-ID" sz="1200" i="0"/>
            </a:p>
          </xdr:txBody>
        </xdr:sp>
      </mc:Fallback>
    </mc:AlternateContent>
    <xdr:clientData/>
  </xdr:oneCellAnchor>
  <xdr:oneCellAnchor>
    <xdr:from>
      <xdr:col>51</xdr:col>
      <xdr:colOff>9525</xdr:colOff>
      <xdr:row>111</xdr:row>
      <xdr:rowOff>242888</xdr:rowOff>
    </xdr:from>
    <xdr:ext cx="2574872" cy="3788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2B295DB4-465A-4CBD-A044-050EC6345A91}"/>
                </a:ext>
              </a:extLst>
            </xdr:cNvPr>
            <xdr:cNvSpPr txBox="1"/>
          </xdr:nvSpPr>
          <xdr:spPr>
            <a:xfrm>
              <a:off x="39935150" y="46621701"/>
              <a:ext cx="2574872" cy="3788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sz="1200" b="0" i="0">
                        <a:latin typeface="Cambria Math" panose="02040503050406030204" pitchFamily="18" charset="0"/>
                      </a:rPr>
                      <m:t>CED</m:t>
                    </m:r>
                    <m:r>
                      <a:rPr lang="en-US" sz="1200" b="0" i="0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n-ID" sz="12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Jumlah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skor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yang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diungkapkan</m:t>
                        </m:r>
                      </m:num>
                      <m:den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Jumlah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total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maksimum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skor</m:t>
                        </m:r>
                      </m:den>
                    </m:f>
                  </m:oMath>
                </m:oMathPara>
              </a14:m>
              <a:endParaRPr lang="en-ID" sz="1200" i="0"/>
            </a:p>
          </xdr:txBody>
        </xdr:sp>
      </mc:Choice>
      <mc:Fallback xmlns="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2B295DB4-465A-4CBD-A044-050EC6345A91}"/>
                </a:ext>
              </a:extLst>
            </xdr:cNvPr>
            <xdr:cNvSpPr txBox="1"/>
          </xdr:nvSpPr>
          <xdr:spPr>
            <a:xfrm>
              <a:off x="39935150" y="46621701"/>
              <a:ext cx="2574872" cy="3788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0" i="0">
                  <a:latin typeface="Cambria Math" panose="02040503050406030204" pitchFamily="18" charset="0"/>
                </a:rPr>
                <a:t>CED=  </a:t>
              </a:r>
              <a:r>
                <a:rPr lang="en-ID" sz="1200" b="0" i="0">
                  <a:latin typeface="Cambria Math" panose="02040503050406030204" pitchFamily="18" charset="0"/>
                </a:rPr>
                <a:t>(</a:t>
              </a:r>
              <a:r>
                <a:rPr lang="en-US" sz="1200" b="0" i="0">
                  <a:latin typeface="Cambria Math" panose="02040503050406030204" pitchFamily="18" charset="0"/>
                </a:rPr>
                <a:t>Jumlah skor yang diungkapkan</a:t>
              </a:r>
              <a:r>
                <a:rPr lang="en-ID" sz="1200" b="0" i="0">
                  <a:latin typeface="Cambria Math" panose="02040503050406030204" pitchFamily="18" charset="0"/>
                </a:rPr>
                <a:t>)/(</a:t>
              </a:r>
              <a:r>
                <a:rPr lang="en-US" sz="1200" b="0" i="0">
                  <a:latin typeface="Cambria Math" panose="02040503050406030204" pitchFamily="18" charset="0"/>
                </a:rPr>
                <a:t>Jumlah total maksimum skor</a:t>
              </a:r>
              <a:r>
                <a:rPr lang="en-ID" sz="1200" b="0" i="0">
                  <a:latin typeface="Cambria Math" panose="02040503050406030204" pitchFamily="18" charset="0"/>
                </a:rPr>
                <a:t>)</a:t>
              </a:r>
              <a:endParaRPr lang="en-ID" sz="1200" i="0"/>
            </a:p>
          </xdr:txBody>
        </xdr:sp>
      </mc:Fallback>
    </mc:AlternateContent>
    <xdr:clientData/>
  </xdr:oneCellAnchor>
  <xdr:oneCellAnchor>
    <xdr:from>
      <xdr:col>51</xdr:col>
      <xdr:colOff>9525</xdr:colOff>
      <xdr:row>223</xdr:row>
      <xdr:rowOff>242888</xdr:rowOff>
    </xdr:from>
    <xdr:ext cx="2574872" cy="3788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8885A22C-46AD-4AA8-B2A2-B5FAEB6264ED}"/>
                </a:ext>
              </a:extLst>
            </xdr:cNvPr>
            <xdr:cNvSpPr txBox="1"/>
          </xdr:nvSpPr>
          <xdr:spPr>
            <a:xfrm>
              <a:off x="39935150" y="63798451"/>
              <a:ext cx="2574872" cy="3788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sz="1200" b="0" i="0">
                        <a:latin typeface="Cambria Math" panose="02040503050406030204" pitchFamily="18" charset="0"/>
                      </a:rPr>
                      <m:t>CED</m:t>
                    </m:r>
                    <m:r>
                      <a:rPr lang="en-US" sz="1200" b="0" i="0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n-ID" sz="12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Jumlah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skor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yang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diungkapkan</m:t>
                        </m:r>
                      </m:num>
                      <m:den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Jumlah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total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maksimum</m:t>
                        </m:r>
                        <m:r>
                          <a:rPr lang="en-US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US" sz="1200" b="0" i="0">
                            <a:latin typeface="Cambria Math" panose="02040503050406030204" pitchFamily="18" charset="0"/>
                          </a:rPr>
                          <m:t>skor</m:t>
                        </m:r>
                      </m:den>
                    </m:f>
                  </m:oMath>
                </m:oMathPara>
              </a14:m>
              <a:endParaRPr lang="en-ID" sz="1200" i="0"/>
            </a:p>
          </xdr:txBody>
        </xdr:sp>
      </mc:Choice>
      <mc:Fallback xmlns="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8885A22C-46AD-4AA8-B2A2-B5FAEB6264ED}"/>
                </a:ext>
              </a:extLst>
            </xdr:cNvPr>
            <xdr:cNvSpPr txBox="1"/>
          </xdr:nvSpPr>
          <xdr:spPr>
            <a:xfrm>
              <a:off x="39935150" y="63798451"/>
              <a:ext cx="2574872" cy="3788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0" i="0">
                  <a:latin typeface="Cambria Math" panose="02040503050406030204" pitchFamily="18" charset="0"/>
                </a:rPr>
                <a:t>CED=  </a:t>
              </a:r>
              <a:r>
                <a:rPr lang="en-ID" sz="1200" b="0" i="0">
                  <a:latin typeface="Cambria Math" panose="02040503050406030204" pitchFamily="18" charset="0"/>
                </a:rPr>
                <a:t>(</a:t>
              </a:r>
              <a:r>
                <a:rPr lang="en-US" sz="1200" b="0" i="0">
                  <a:latin typeface="Cambria Math" panose="02040503050406030204" pitchFamily="18" charset="0"/>
                </a:rPr>
                <a:t>Jumlah skor yang diungkapkan</a:t>
              </a:r>
              <a:r>
                <a:rPr lang="en-ID" sz="1200" b="0" i="0">
                  <a:latin typeface="Cambria Math" panose="02040503050406030204" pitchFamily="18" charset="0"/>
                </a:rPr>
                <a:t>)/(</a:t>
              </a:r>
              <a:r>
                <a:rPr lang="en-US" sz="1200" b="0" i="0">
                  <a:latin typeface="Cambria Math" panose="02040503050406030204" pitchFamily="18" charset="0"/>
                </a:rPr>
                <a:t>Jumlah total maksimum skor</a:t>
              </a:r>
              <a:r>
                <a:rPr lang="en-ID" sz="1200" b="0" i="0">
                  <a:latin typeface="Cambria Math" panose="02040503050406030204" pitchFamily="18" charset="0"/>
                </a:rPr>
                <a:t>)</a:t>
              </a:r>
              <a:endParaRPr lang="en-ID" sz="1200" i="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A1437-A97D-4E1C-BC96-F006F821D363}">
  <dimension ref="A1:T315"/>
  <sheetViews>
    <sheetView zoomScale="80" zoomScaleNormal="80" workbookViewId="0">
      <pane ySplit="1" topLeftCell="A132" activePane="bottomLeft" state="frozen"/>
      <selection pane="bottomLeft" activeCell="A132" activeCellId="5" sqref="A127:XFD127 A128:XFD128 A129:XFD129 A130:XFD130 A131:XFD131 A132:XFD132"/>
    </sheetView>
  </sheetViews>
  <sheetFormatPr defaultRowHeight="15.5" x14ac:dyDescent="0.35"/>
  <cols>
    <col min="1" max="1" width="4.6328125" style="2" bestFit="1" customWidth="1"/>
    <col min="2" max="2" width="11.90625" style="1" bestFit="1" customWidth="1"/>
    <col min="3" max="3" width="6.36328125" style="1" bestFit="1" customWidth="1"/>
    <col min="4" max="4" width="30.26953125" style="32" customWidth="1"/>
    <col min="5" max="5" width="28.08984375" style="32" bestFit="1" customWidth="1"/>
    <col min="6" max="6" width="27.1796875" style="1" customWidth="1"/>
    <col min="7" max="7" width="29.26953125" style="32" bestFit="1" customWidth="1"/>
    <col min="8" max="8" width="12.81640625" style="1" customWidth="1"/>
    <col min="9" max="9" width="16.7265625" style="26" customWidth="1"/>
    <col min="10" max="10" width="17.6328125" style="2" customWidth="1"/>
    <col min="11" max="11" width="25.453125" style="32" customWidth="1"/>
    <col min="12" max="13" width="23.453125" style="32" customWidth="1"/>
    <col min="14" max="14" width="29.26953125" style="32" bestFit="1" customWidth="1"/>
    <col min="15" max="15" width="18.36328125" style="47" bestFit="1" customWidth="1"/>
    <col min="16" max="17" width="28.08984375" style="32" bestFit="1" customWidth="1"/>
    <col min="18" max="18" width="9" style="8" bestFit="1" customWidth="1"/>
    <col min="19" max="19" width="26.453125" style="32" bestFit="1" customWidth="1"/>
    <col min="20" max="20" width="9" style="8" bestFit="1" customWidth="1"/>
    <col min="21" max="16384" width="8.7265625" style="1"/>
  </cols>
  <sheetData>
    <row r="1" spans="1:20" x14ac:dyDescent="0.35">
      <c r="A1" s="3" t="s">
        <v>66</v>
      </c>
      <c r="B1" s="3" t="s">
        <v>1</v>
      </c>
      <c r="C1" s="3" t="s">
        <v>2</v>
      </c>
      <c r="D1" s="3" t="s">
        <v>4</v>
      </c>
      <c r="E1" s="3" t="s">
        <v>5</v>
      </c>
      <c r="F1" s="3" t="s">
        <v>15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6</v>
      </c>
      <c r="M1" s="3" t="s">
        <v>5</v>
      </c>
      <c r="N1" s="3" t="s">
        <v>6</v>
      </c>
      <c r="O1" s="3" t="s">
        <v>11</v>
      </c>
      <c r="P1" s="3" t="s">
        <v>5</v>
      </c>
      <c r="Q1" s="3" t="s">
        <v>14</v>
      </c>
      <c r="R1" s="3" t="s">
        <v>12</v>
      </c>
      <c r="S1" s="3" t="s">
        <v>6</v>
      </c>
      <c r="T1" s="3" t="s">
        <v>13</v>
      </c>
    </row>
    <row r="2" spans="1:20" x14ac:dyDescent="0.35">
      <c r="B2" s="1" t="s">
        <v>110</v>
      </c>
      <c r="D2" s="1"/>
      <c r="E2" s="1"/>
      <c r="G2" s="1"/>
      <c r="I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35">
      <c r="D3" s="1"/>
      <c r="E3" s="1"/>
      <c r="G3" s="1"/>
      <c r="I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35">
      <c r="A4" s="2">
        <v>1</v>
      </c>
      <c r="B4" s="1" t="s">
        <v>111</v>
      </c>
      <c r="C4" s="1">
        <v>2022</v>
      </c>
      <c r="D4" s="32">
        <v>33967626650100</v>
      </c>
      <c r="E4" s="32">
        <v>6139263000000</v>
      </c>
      <c r="F4" s="32">
        <f>D4+E4</f>
        <v>40106889650100</v>
      </c>
      <c r="G4" s="32">
        <v>25706169000000</v>
      </c>
      <c r="H4" s="44">
        <f>F4/G4</f>
        <v>1.560204853943814</v>
      </c>
      <c r="I4" s="26">
        <v>0.72221999999999997</v>
      </c>
      <c r="J4" s="2">
        <v>4</v>
      </c>
      <c r="K4" s="32">
        <v>4525505000000</v>
      </c>
      <c r="L4" s="32">
        <v>25706169000000</v>
      </c>
      <c r="M4" s="32">
        <v>6139263000000</v>
      </c>
      <c r="N4" s="32">
        <v>25706169000000</v>
      </c>
      <c r="O4" s="26">
        <f>(K4/L4)+(M4/N4)</f>
        <v>0.4148719321031461</v>
      </c>
      <c r="P4" s="32">
        <v>6139263000000</v>
      </c>
      <c r="Q4" s="32">
        <v>19566906000000</v>
      </c>
      <c r="R4" s="8">
        <f>P4/Q4</f>
        <v>0.31375747397161308</v>
      </c>
      <c r="S4" s="32">
        <v>25706169000000</v>
      </c>
      <c r="T4" s="8">
        <f>LN(S4)</f>
        <v>30.877752117935497</v>
      </c>
    </row>
    <row r="5" spans="1:20" x14ac:dyDescent="0.35">
      <c r="A5" s="2">
        <v>1</v>
      </c>
      <c r="B5" s="1" t="s">
        <v>111</v>
      </c>
      <c r="C5" s="1">
        <v>2023</v>
      </c>
      <c r="D5" s="32">
        <v>32252089950600</v>
      </c>
      <c r="E5" s="32">
        <v>8680134000000</v>
      </c>
      <c r="F5" s="32">
        <f t="shared" ref="F5:F71" si="0">D5+E5</f>
        <v>40932223950600</v>
      </c>
      <c r="G5" s="32">
        <v>29649645000000</v>
      </c>
      <c r="H5" s="44">
        <f t="shared" ref="H5:H71" si="1">F5/G5</f>
        <v>1.3805299844433214</v>
      </c>
      <c r="I5" s="26">
        <v>0.83333000000000002</v>
      </c>
      <c r="J5" s="2">
        <v>4</v>
      </c>
      <c r="K5" s="32">
        <v>3185373000000</v>
      </c>
      <c r="L5" s="32">
        <v>29649645000000</v>
      </c>
      <c r="M5" s="32">
        <v>8680134000000</v>
      </c>
      <c r="N5" s="32">
        <v>29649645000000</v>
      </c>
      <c r="O5" s="26">
        <f t="shared" ref="O5:O48" si="2">(K5/L5)+(M5/N5)</f>
        <v>0.40019052504675856</v>
      </c>
      <c r="P5" s="32">
        <v>8680134000000</v>
      </c>
      <c r="Q5" s="32">
        <v>20969511000000</v>
      </c>
      <c r="R5" s="8">
        <f t="shared" ref="R5:R71" si="3">P5/Q5</f>
        <v>0.41394069704343606</v>
      </c>
      <c r="S5" s="32">
        <v>29649645000000</v>
      </c>
      <c r="T5" s="8">
        <f t="shared" ref="T5:T65" si="4">LN(S5)</f>
        <v>31.020471268282055</v>
      </c>
    </row>
    <row r="6" spans="1:20" x14ac:dyDescent="0.35">
      <c r="A6" s="3">
        <v>1</v>
      </c>
      <c r="B6" s="4" t="s">
        <v>111</v>
      </c>
      <c r="C6" s="4">
        <v>2024</v>
      </c>
      <c r="D6" s="33">
        <v>27241114572600</v>
      </c>
      <c r="E6" s="33">
        <v>8305656000000</v>
      </c>
      <c r="F6" s="33">
        <f t="shared" si="0"/>
        <v>35546770572600</v>
      </c>
      <c r="G6" s="33">
        <v>30420006000000</v>
      </c>
      <c r="H6" s="45">
        <f t="shared" si="1"/>
        <v>1.168532661453124</v>
      </c>
      <c r="I6" s="27">
        <v>0.83333000000000002</v>
      </c>
      <c r="J6" s="3">
        <v>5</v>
      </c>
      <c r="K6" s="33">
        <v>4496547000000</v>
      </c>
      <c r="L6" s="33">
        <v>30420006000000</v>
      </c>
      <c r="M6" s="33">
        <v>8305656000000</v>
      </c>
      <c r="N6" s="33">
        <v>30420006000000</v>
      </c>
      <c r="O6" s="27">
        <f t="shared" si="2"/>
        <v>0.420848141844548</v>
      </c>
      <c r="P6" s="33">
        <v>8305656000000</v>
      </c>
      <c r="Q6" s="33">
        <v>22114350000000</v>
      </c>
      <c r="R6" s="9">
        <f t="shared" si="3"/>
        <v>0.3755776678943763</v>
      </c>
      <c r="S6" s="33">
        <v>30420006000000</v>
      </c>
      <c r="T6" s="9">
        <f t="shared" si="4"/>
        <v>31.046121599998333</v>
      </c>
    </row>
    <row r="7" spans="1:20" x14ac:dyDescent="0.35">
      <c r="A7" s="2">
        <v>2</v>
      </c>
      <c r="B7" s="1" t="s">
        <v>112</v>
      </c>
      <c r="C7" s="1">
        <v>2022</v>
      </c>
      <c r="D7" s="32">
        <v>3833958253696</v>
      </c>
      <c r="E7" s="32">
        <v>2124332191000</v>
      </c>
      <c r="F7" s="32">
        <f t="shared" si="0"/>
        <v>5958290444696</v>
      </c>
      <c r="G7" s="32">
        <v>5211248525000</v>
      </c>
      <c r="H7" s="44">
        <f t="shared" si="1"/>
        <v>1.1433518121640533</v>
      </c>
      <c r="I7" s="26">
        <v>0.72221999999999997</v>
      </c>
      <c r="J7" s="2">
        <v>4</v>
      </c>
      <c r="K7" s="32">
        <v>522918099000</v>
      </c>
      <c r="L7" s="32">
        <v>5211248525000</v>
      </c>
      <c r="M7" s="32">
        <v>2124332191000</v>
      </c>
      <c r="N7" s="32">
        <v>5211248525000</v>
      </c>
      <c r="O7" s="26">
        <f t="shared" si="2"/>
        <v>0.50798772641533152</v>
      </c>
      <c r="P7" s="32">
        <v>2124332191000</v>
      </c>
      <c r="Q7" s="32">
        <v>3086916334000</v>
      </c>
      <c r="R7" s="8">
        <f t="shared" si="3"/>
        <v>0.68817290821980537</v>
      </c>
      <c r="S7" s="32">
        <v>5211248525000</v>
      </c>
      <c r="T7" s="8">
        <f t="shared" si="4"/>
        <v>29.281840583099882</v>
      </c>
    </row>
    <row r="8" spans="1:20" x14ac:dyDescent="0.35">
      <c r="A8" s="2">
        <v>2</v>
      </c>
      <c r="B8" s="1" t="s">
        <v>112</v>
      </c>
      <c r="C8" s="1">
        <v>2023</v>
      </c>
      <c r="D8" s="32">
        <v>2761244545408</v>
      </c>
      <c r="E8" s="32">
        <v>1694318282000</v>
      </c>
      <c r="F8" s="32">
        <f t="shared" si="0"/>
        <v>4455562827408</v>
      </c>
      <c r="G8" s="32">
        <v>4856730638000</v>
      </c>
      <c r="H8" s="44">
        <f t="shared" si="1"/>
        <v>0.91739961704831119</v>
      </c>
      <c r="I8" s="26">
        <v>0.72221999999999997</v>
      </c>
      <c r="J8" s="2">
        <v>4</v>
      </c>
      <c r="K8" s="32">
        <v>98386875000</v>
      </c>
      <c r="L8" s="32">
        <v>4856730638000</v>
      </c>
      <c r="M8" s="32">
        <v>1694318282000</v>
      </c>
      <c r="N8" s="32">
        <v>4856730638000</v>
      </c>
      <c r="O8" s="26">
        <f t="shared" si="2"/>
        <v>0.36911768237124948</v>
      </c>
      <c r="P8" s="32">
        <v>1694318282000</v>
      </c>
      <c r="Q8" s="32">
        <v>3162412356000</v>
      </c>
      <c r="R8" s="8">
        <f t="shared" si="3"/>
        <v>0.53576766444938595</v>
      </c>
      <c r="S8" s="32">
        <v>4856730638000</v>
      </c>
      <c r="T8" s="8">
        <f>LN(S8)</f>
        <v>29.211386619240791</v>
      </c>
    </row>
    <row r="9" spans="1:20" x14ac:dyDescent="0.35">
      <c r="A9" s="3">
        <v>2</v>
      </c>
      <c r="B9" s="4" t="s">
        <v>112</v>
      </c>
      <c r="C9" s="4">
        <v>2024</v>
      </c>
      <c r="D9" s="33">
        <v>2026237004544</v>
      </c>
      <c r="E9" s="33">
        <v>1639441913000</v>
      </c>
      <c r="F9" s="33">
        <f t="shared" si="0"/>
        <v>3665678917544</v>
      </c>
      <c r="G9" s="33">
        <v>4907686845000</v>
      </c>
      <c r="H9" s="45">
        <f t="shared" si="1"/>
        <v>0.74692600268059683</v>
      </c>
      <c r="I9" s="27">
        <v>0.72221999999999997</v>
      </c>
      <c r="J9" s="3">
        <v>4</v>
      </c>
      <c r="K9" s="33">
        <v>29843338000</v>
      </c>
      <c r="L9" s="33">
        <v>4907686845000</v>
      </c>
      <c r="M9" s="33">
        <v>1639441913000</v>
      </c>
      <c r="N9" s="33">
        <v>4907868845000</v>
      </c>
      <c r="O9" s="27">
        <f t="shared" si="2"/>
        <v>0.34012448385438931</v>
      </c>
      <c r="P9" s="33">
        <v>1639441913000</v>
      </c>
      <c r="Q9" s="33">
        <v>3268244932000</v>
      </c>
      <c r="R9" s="9">
        <f t="shared" si="3"/>
        <v>0.50162761577258674</v>
      </c>
      <c r="S9" s="33">
        <v>4907868845000</v>
      </c>
      <c r="T9" s="9">
        <f t="shared" si="4"/>
        <v>29.22186091972252</v>
      </c>
    </row>
    <row r="10" spans="1:20" x14ac:dyDescent="0.35">
      <c r="A10" s="2">
        <v>3</v>
      </c>
      <c r="B10" s="1" t="s">
        <v>113</v>
      </c>
      <c r="C10" s="1">
        <v>2022</v>
      </c>
      <c r="D10" s="32">
        <v>12852619311525</v>
      </c>
      <c r="E10" s="32">
        <v>9518472000000</v>
      </c>
      <c r="F10" s="32">
        <f t="shared" si="0"/>
        <v>22371091311525</v>
      </c>
      <c r="G10" s="32">
        <v>21378510000000</v>
      </c>
      <c r="H10" s="44">
        <f t="shared" si="1"/>
        <v>1.046428928467185</v>
      </c>
      <c r="I10" s="26">
        <v>0.72221999999999997</v>
      </c>
      <c r="J10" s="2">
        <v>5</v>
      </c>
      <c r="K10" s="32">
        <v>29344000000</v>
      </c>
      <c r="L10" s="32">
        <v>21378510000000</v>
      </c>
      <c r="M10" s="32">
        <v>9518472000000</v>
      </c>
      <c r="N10" s="32">
        <v>21378510000000</v>
      </c>
      <c r="O10" s="26">
        <f t="shared" si="2"/>
        <v>0.4466081125391807</v>
      </c>
      <c r="P10" s="32">
        <v>9518472000000</v>
      </c>
      <c r="Q10" s="32">
        <v>11860038000000</v>
      </c>
      <c r="R10" s="8">
        <f t="shared" si="3"/>
        <v>0.80256673713861626</v>
      </c>
      <c r="S10" s="32">
        <v>21378510000000</v>
      </c>
      <c r="T10" s="8">
        <f t="shared" si="4"/>
        <v>30.693407327796614</v>
      </c>
    </row>
    <row r="11" spans="1:20" x14ac:dyDescent="0.35">
      <c r="A11" s="2">
        <v>3</v>
      </c>
      <c r="B11" s="1" t="s">
        <v>113</v>
      </c>
      <c r="C11" s="1">
        <v>2023</v>
      </c>
      <c r="D11" s="32">
        <v>12131068753685</v>
      </c>
      <c r="E11" s="32">
        <v>9702125000000</v>
      </c>
      <c r="F11" s="32">
        <f t="shared" si="0"/>
        <v>21833193753685</v>
      </c>
      <c r="G11" s="32">
        <v>22206739000000</v>
      </c>
      <c r="H11" s="44">
        <f t="shared" si="1"/>
        <v>0.98317874378966674</v>
      </c>
      <c r="I11" s="26">
        <v>0.77778000000000003</v>
      </c>
      <c r="J11" s="2">
        <v>4</v>
      </c>
      <c r="K11" s="32">
        <v>339455000000</v>
      </c>
      <c r="L11" s="32">
        <v>22206730638000</v>
      </c>
      <c r="M11" s="32">
        <v>9702125000000</v>
      </c>
      <c r="N11" s="32">
        <v>22206730638000</v>
      </c>
      <c r="O11" s="26">
        <f t="shared" si="2"/>
        <v>0.45218632871679543</v>
      </c>
      <c r="P11" s="32">
        <v>9702125000000</v>
      </c>
      <c r="Q11" s="32">
        <v>12504614000000</v>
      </c>
      <c r="R11" s="8">
        <f t="shared" si="3"/>
        <v>0.77588360584341109</v>
      </c>
      <c r="S11" s="32">
        <v>22206730638000</v>
      </c>
      <c r="T11" s="8">
        <f t="shared" si="4"/>
        <v>30.731416540748331</v>
      </c>
    </row>
    <row r="12" spans="1:20" x14ac:dyDescent="0.35">
      <c r="A12" s="3">
        <v>3</v>
      </c>
      <c r="B12" s="4" t="s">
        <v>113</v>
      </c>
      <c r="C12" s="4">
        <v>2024</v>
      </c>
      <c r="D12" s="33">
        <v>6764536479750</v>
      </c>
      <c r="E12" s="33">
        <v>8132242000000</v>
      </c>
      <c r="F12" s="33">
        <f t="shared" si="0"/>
        <v>14896778479750</v>
      </c>
      <c r="G12" s="33">
        <v>21046352000000</v>
      </c>
      <c r="H12" s="45">
        <f t="shared" si="1"/>
        <v>0.70780810278902495</v>
      </c>
      <c r="I12" s="27">
        <v>0.77778000000000003</v>
      </c>
      <c r="J12" s="3">
        <v>5</v>
      </c>
      <c r="K12" s="33">
        <v>150342000000</v>
      </c>
      <c r="L12" s="33">
        <v>21046352000000</v>
      </c>
      <c r="M12" s="33">
        <v>8132242000000</v>
      </c>
      <c r="N12" s="33">
        <v>21046352000000</v>
      </c>
      <c r="O12" s="27">
        <f t="shared" si="2"/>
        <v>0.39354012514852926</v>
      </c>
      <c r="P12" s="33">
        <v>8132242000000</v>
      </c>
      <c r="Q12" s="33">
        <v>12914110000000</v>
      </c>
      <c r="R12" s="9">
        <f t="shared" si="3"/>
        <v>0.62971757248466986</v>
      </c>
      <c r="S12" s="33">
        <v>21046352000000</v>
      </c>
      <c r="T12" s="9">
        <f t="shared" si="4"/>
        <v>30.677748359375762</v>
      </c>
    </row>
    <row r="13" spans="1:20" x14ac:dyDescent="0.35">
      <c r="A13" s="2">
        <v>4</v>
      </c>
      <c r="B13" s="1" t="s">
        <v>114</v>
      </c>
      <c r="C13" s="1">
        <v>2022</v>
      </c>
      <c r="D13" s="32">
        <v>44391376085175</v>
      </c>
      <c r="E13" s="32">
        <v>33270652000000</v>
      </c>
      <c r="F13" s="32">
        <f t="shared" si="0"/>
        <v>77662028085175</v>
      </c>
      <c r="G13" s="32">
        <v>82960012000000</v>
      </c>
      <c r="H13" s="44">
        <f t="shared" si="1"/>
        <v>0.93613810091029159</v>
      </c>
      <c r="I13" s="26">
        <v>0.77778000000000003</v>
      </c>
      <c r="J13" s="2">
        <v>4</v>
      </c>
      <c r="K13" s="32">
        <v>6007333000000</v>
      </c>
      <c r="L13" s="32">
        <v>82960012000000</v>
      </c>
      <c r="M13" s="32">
        <v>33270652000000</v>
      </c>
      <c r="N13" s="32">
        <v>82960012000000</v>
      </c>
      <c r="O13" s="26">
        <f t="shared" si="2"/>
        <v>0.47345683845850939</v>
      </c>
      <c r="P13" s="32">
        <v>33270652000000</v>
      </c>
      <c r="Q13" s="32">
        <v>39782882000000</v>
      </c>
      <c r="R13" s="8">
        <f t="shared" si="3"/>
        <v>0.83630572566361583</v>
      </c>
      <c r="S13" s="32">
        <v>82960012000000</v>
      </c>
      <c r="T13" s="8">
        <f t="shared" si="4"/>
        <v>32.049379824497834</v>
      </c>
    </row>
    <row r="14" spans="1:20" x14ac:dyDescent="0.35">
      <c r="A14" s="2">
        <v>4</v>
      </c>
      <c r="B14" s="1" t="s">
        <v>114</v>
      </c>
      <c r="C14" s="1">
        <v>2023</v>
      </c>
      <c r="D14" s="32">
        <v>43209856569600</v>
      </c>
      <c r="E14" s="32">
        <v>31769553000000</v>
      </c>
      <c r="F14" s="32">
        <f t="shared" si="0"/>
        <v>74979409569600</v>
      </c>
      <c r="G14" s="32">
        <v>81820529000000</v>
      </c>
      <c r="H14" s="44">
        <f t="shared" si="1"/>
        <v>0.91638871669480404</v>
      </c>
      <c r="I14" s="26">
        <v>0.83333000000000002</v>
      </c>
      <c r="J14" s="2">
        <v>4</v>
      </c>
      <c r="K14" s="32">
        <v>6939841000000</v>
      </c>
      <c r="L14" s="32">
        <v>81820529000000</v>
      </c>
      <c r="M14" s="32">
        <v>31769553000000</v>
      </c>
      <c r="N14" s="32">
        <v>81820529000000</v>
      </c>
      <c r="O14" s="26">
        <f t="shared" si="2"/>
        <v>0.47310124333222042</v>
      </c>
      <c r="P14" s="32">
        <v>31769553000000</v>
      </c>
      <c r="Q14" s="32">
        <v>47800976000000</v>
      </c>
      <c r="R14" s="8">
        <f t="shared" si="3"/>
        <v>0.6646214294871301</v>
      </c>
      <c r="S14" s="32">
        <v>81820529000000</v>
      </c>
      <c r="T14" s="8">
        <f t="shared" si="4"/>
        <v>32.035549293820779</v>
      </c>
    </row>
    <row r="15" spans="1:20" x14ac:dyDescent="0.35">
      <c r="A15" s="3">
        <v>4</v>
      </c>
      <c r="B15" s="4" t="s">
        <v>114</v>
      </c>
      <c r="C15" s="4">
        <v>2024</v>
      </c>
      <c r="D15" s="33">
        <v>22212566892810</v>
      </c>
      <c r="E15" s="33">
        <v>26635871000000</v>
      </c>
      <c r="F15" s="33">
        <f t="shared" si="0"/>
        <v>48848437892810</v>
      </c>
      <c r="G15" s="33">
        <v>76993082000000</v>
      </c>
      <c r="H15" s="45">
        <f t="shared" si="1"/>
        <v>0.63445229914046042</v>
      </c>
      <c r="I15" s="27">
        <v>0.83333000000000002</v>
      </c>
      <c r="J15" s="3">
        <v>5</v>
      </c>
      <c r="K15" s="33">
        <v>3659130000000</v>
      </c>
      <c r="L15" s="33">
        <v>76993082000000</v>
      </c>
      <c r="M15" s="33">
        <v>26635871000000</v>
      </c>
      <c r="N15" s="33">
        <v>76993082000000</v>
      </c>
      <c r="O15" s="27">
        <f t="shared" si="2"/>
        <v>0.39347692303056525</v>
      </c>
      <c r="P15" s="33">
        <v>26635871000000</v>
      </c>
      <c r="Q15" s="33">
        <v>48307211000000</v>
      </c>
      <c r="R15" s="9">
        <f t="shared" si="3"/>
        <v>0.55138498887878251</v>
      </c>
      <c r="S15" s="33">
        <v>76993082000000</v>
      </c>
      <c r="T15" s="9">
        <f t="shared" si="4"/>
        <v>31.974736689590159</v>
      </c>
    </row>
    <row r="16" spans="1:20" x14ac:dyDescent="0.35">
      <c r="A16" s="2">
        <v>5</v>
      </c>
      <c r="B16" s="1" t="s">
        <v>115</v>
      </c>
      <c r="C16" s="1">
        <v>2022</v>
      </c>
      <c r="D16" s="32">
        <v>2408700000000</v>
      </c>
      <c r="E16" s="32">
        <v>3746348000000</v>
      </c>
      <c r="F16" s="32">
        <f t="shared" si="0"/>
        <v>6155048000000</v>
      </c>
      <c r="G16" s="32">
        <v>7466520000000</v>
      </c>
      <c r="H16" s="44">
        <f t="shared" si="1"/>
        <v>0.824352978362075</v>
      </c>
      <c r="I16" s="26">
        <v>0.55556000000000005</v>
      </c>
      <c r="J16" s="2">
        <v>3</v>
      </c>
      <c r="K16" s="32">
        <v>107248000000</v>
      </c>
      <c r="L16" s="32">
        <v>7466520000000</v>
      </c>
      <c r="M16" s="32">
        <v>3746348000000</v>
      </c>
      <c r="N16" s="32">
        <v>7466520000000</v>
      </c>
      <c r="O16" s="26">
        <f t="shared" si="2"/>
        <v>0.51611674515035122</v>
      </c>
      <c r="P16" s="32">
        <v>3746348000000</v>
      </c>
      <c r="Q16" s="32">
        <v>3702172000000</v>
      </c>
      <c r="R16" s="8">
        <f t="shared" si="3"/>
        <v>1.0119324547860014</v>
      </c>
      <c r="S16" s="32">
        <v>7466520000000</v>
      </c>
      <c r="T16" s="8">
        <f t="shared" si="4"/>
        <v>29.641450143071367</v>
      </c>
    </row>
    <row r="17" spans="1:20" x14ac:dyDescent="0.35">
      <c r="A17" s="2">
        <v>5</v>
      </c>
      <c r="B17" s="1" t="s">
        <v>115</v>
      </c>
      <c r="C17" s="1">
        <v>2023</v>
      </c>
      <c r="D17" s="32">
        <v>2560600000000</v>
      </c>
      <c r="E17" s="32">
        <v>3259927000000</v>
      </c>
      <c r="F17" s="32">
        <f t="shared" si="0"/>
        <v>5820527000000</v>
      </c>
      <c r="G17" s="32">
        <v>7500664000000</v>
      </c>
      <c r="H17" s="44">
        <f t="shared" si="1"/>
        <v>0.7760015646614753</v>
      </c>
      <c r="I17" s="26">
        <v>0.61111000000000004</v>
      </c>
      <c r="J17" s="2">
        <v>3</v>
      </c>
      <c r="K17" s="32">
        <v>148822000000</v>
      </c>
      <c r="L17" s="32">
        <v>7500664000000</v>
      </c>
      <c r="M17" s="32">
        <v>3259927000000</v>
      </c>
      <c r="N17" s="32">
        <v>7500664000000</v>
      </c>
      <c r="O17" s="26">
        <f t="shared" si="2"/>
        <v>0.4544596318405944</v>
      </c>
      <c r="P17" s="32">
        <v>3259927000000</v>
      </c>
      <c r="Q17" s="32">
        <v>4240737000000</v>
      </c>
      <c r="R17" s="8">
        <f t="shared" si="3"/>
        <v>0.76871708856267196</v>
      </c>
      <c r="S17" s="32">
        <v>7500664000000</v>
      </c>
      <c r="T17" s="8">
        <f t="shared" si="4"/>
        <v>29.646012665885301</v>
      </c>
    </row>
    <row r="18" spans="1:20" x14ac:dyDescent="0.35">
      <c r="A18" s="3">
        <v>5</v>
      </c>
      <c r="B18" s="4" t="s">
        <v>115</v>
      </c>
      <c r="C18" s="4">
        <v>2024</v>
      </c>
      <c r="D18" s="33">
        <v>1861860000000</v>
      </c>
      <c r="E18" s="33">
        <v>2778081000000</v>
      </c>
      <c r="F18" s="33">
        <f t="shared" si="0"/>
        <v>4639941000000</v>
      </c>
      <c r="G18" s="33">
        <v>7271566000000</v>
      </c>
      <c r="H18" s="45">
        <f t="shared" si="1"/>
        <v>0.63809377512354282</v>
      </c>
      <c r="I18" s="27">
        <v>0.66666999999999998</v>
      </c>
      <c r="J18" s="3">
        <v>3</v>
      </c>
      <c r="K18" s="33">
        <v>49883000000</v>
      </c>
      <c r="L18" s="33">
        <v>7271566000000</v>
      </c>
      <c r="M18" s="33">
        <v>2778081000000</v>
      </c>
      <c r="N18" s="33">
        <v>7271566000000</v>
      </c>
      <c r="O18" s="27">
        <f t="shared" si="2"/>
        <v>0.38890714874897653</v>
      </c>
      <c r="P18" s="33">
        <v>2778081000000</v>
      </c>
      <c r="Q18" s="33">
        <v>4493485000000</v>
      </c>
      <c r="R18" s="9">
        <f t="shared" si="3"/>
        <v>0.61824641675670444</v>
      </c>
      <c r="S18" s="33">
        <v>7271566000000</v>
      </c>
      <c r="T18" s="9">
        <f t="shared" si="4"/>
        <v>29.61499279005465</v>
      </c>
    </row>
    <row r="19" spans="1:20" x14ac:dyDescent="0.35">
      <c r="A19" s="2">
        <v>6</v>
      </c>
      <c r="B19" s="1" t="s">
        <v>116</v>
      </c>
      <c r="C19" s="1">
        <v>2022</v>
      </c>
      <c r="D19" s="32">
        <v>2786400000000</v>
      </c>
      <c r="E19" s="32">
        <v>1002210741085</v>
      </c>
      <c r="F19" s="32">
        <f t="shared" si="0"/>
        <v>3788610741085</v>
      </c>
      <c r="G19" s="32">
        <v>3304972191991</v>
      </c>
      <c r="H19" s="44">
        <f t="shared" si="1"/>
        <v>1.1463366470271703</v>
      </c>
      <c r="I19" s="26">
        <v>0.5</v>
      </c>
      <c r="J19" s="2">
        <v>3</v>
      </c>
      <c r="K19" s="32">
        <v>405569883002</v>
      </c>
      <c r="L19" s="32">
        <v>3304972191991</v>
      </c>
      <c r="M19" s="32">
        <v>1002210741085</v>
      </c>
      <c r="N19" s="32">
        <v>3304972191991</v>
      </c>
      <c r="O19" s="26">
        <f t="shared" si="2"/>
        <v>0.4259583870322724</v>
      </c>
      <c r="P19" s="32">
        <v>1002210741085</v>
      </c>
      <c r="Q19" s="32">
        <v>2302761450906</v>
      </c>
      <c r="R19" s="8">
        <f t="shared" si="3"/>
        <v>0.43522126040918807</v>
      </c>
      <c r="S19" s="32">
        <v>3304972191991</v>
      </c>
      <c r="T19" s="8">
        <f t="shared" si="4"/>
        <v>28.826449175275773</v>
      </c>
    </row>
    <row r="20" spans="1:20" x14ac:dyDescent="0.35">
      <c r="A20" s="2">
        <v>6</v>
      </c>
      <c r="B20" s="1" t="s">
        <v>116</v>
      </c>
      <c r="C20" s="1">
        <v>2023</v>
      </c>
      <c r="D20" s="32">
        <v>2352960000000</v>
      </c>
      <c r="E20" s="32">
        <v>989206172452</v>
      </c>
      <c r="F20" s="32">
        <f t="shared" si="0"/>
        <v>3342166172452</v>
      </c>
      <c r="G20" s="32">
        <v>3451053901000</v>
      </c>
      <c r="H20" s="44">
        <f t="shared" si="1"/>
        <v>0.96844797801725202</v>
      </c>
      <c r="I20" s="26">
        <v>0.5</v>
      </c>
      <c r="J20" s="2">
        <v>3</v>
      </c>
      <c r="K20" s="32">
        <v>325326738117</v>
      </c>
      <c r="L20" s="32">
        <v>3451053901000</v>
      </c>
      <c r="M20" s="32">
        <v>989206172452</v>
      </c>
      <c r="N20" s="32">
        <v>3451053901000</v>
      </c>
      <c r="O20" s="26">
        <f t="shared" si="2"/>
        <v>0.38090767292510042</v>
      </c>
      <c r="P20" s="32">
        <v>989206172452</v>
      </c>
      <c r="Q20" s="32">
        <v>2351397318568</v>
      </c>
      <c r="R20" s="8">
        <f t="shared" si="3"/>
        <v>0.42068865378073417</v>
      </c>
      <c r="S20" s="32">
        <v>3451053901000</v>
      </c>
      <c r="T20" s="8">
        <f t="shared" si="4"/>
        <v>28.869700778873469</v>
      </c>
    </row>
    <row r="21" spans="1:20" x14ac:dyDescent="0.35">
      <c r="A21" s="3">
        <v>6</v>
      </c>
      <c r="B21" s="4" t="s">
        <v>116</v>
      </c>
      <c r="C21" s="4">
        <v>2024</v>
      </c>
      <c r="D21" s="33">
        <v>2270400000000</v>
      </c>
      <c r="E21" s="33">
        <v>982493481408</v>
      </c>
      <c r="F21" s="33">
        <f t="shared" si="0"/>
        <v>3252893481408</v>
      </c>
      <c r="G21" s="33">
        <v>3333890799976</v>
      </c>
      <c r="H21" s="45">
        <f t="shared" si="1"/>
        <v>0.9757048675473764</v>
      </c>
      <c r="I21" s="27">
        <v>0.5</v>
      </c>
      <c r="J21" s="3">
        <v>3</v>
      </c>
      <c r="K21" s="33">
        <v>335749272789</v>
      </c>
      <c r="L21" s="33">
        <v>3333890799976</v>
      </c>
      <c r="M21" s="33">
        <v>982493481408</v>
      </c>
      <c r="N21" s="33">
        <v>3333890799976</v>
      </c>
      <c r="O21" s="27">
        <f t="shared" si="2"/>
        <v>0.39540669844569887</v>
      </c>
      <c r="P21" s="33">
        <v>982493481408</v>
      </c>
      <c r="Q21" s="33">
        <v>2461847728548</v>
      </c>
      <c r="R21" s="9">
        <f t="shared" si="3"/>
        <v>0.39908783553704014</v>
      </c>
      <c r="S21" s="33">
        <v>3333890799976</v>
      </c>
      <c r="T21" s="9">
        <f t="shared" si="4"/>
        <v>28.835161146264234</v>
      </c>
    </row>
    <row r="22" spans="1:20" x14ac:dyDescent="0.35">
      <c r="A22" s="2">
        <v>7</v>
      </c>
      <c r="B22" s="1" t="s">
        <v>117</v>
      </c>
      <c r="C22" s="1">
        <v>2022</v>
      </c>
      <c r="D22" s="32">
        <v>601200000000</v>
      </c>
      <c r="E22" s="32">
        <v>621151662369</v>
      </c>
      <c r="F22" s="32">
        <f t="shared" si="0"/>
        <v>1222351662369</v>
      </c>
      <c r="G22" s="32">
        <v>731341359270</v>
      </c>
      <c r="H22" s="44">
        <f t="shared" si="1"/>
        <v>1.6713832013946397</v>
      </c>
      <c r="I22" s="26">
        <v>0.61111000000000004</v>
      </c>
      <c r="J22" s="2">
        <v>2</v>
      </c>
      <c r="K22" s="32">
        <v>23471460256</v>
      </c>
      <c r="L22" s="32">
        <v>731341359270</v>
      </c>
      <c r="M22" s="32">
        <v>621151662369</v>
      </c>
      <c r="N22" s="32">
        <v>731341359270</v>
      </c>
      <c r="O22" s="26">
        <f t="shared" si="2"/>
        <v>0.88142577259467569</v>
      </c>
      <c r="P22" s="32">
        <v>621151662369</v>
      </c>
      <c r="Q22" s="32">
        <v>110189496901</v>
      </c>
      <c r="R22" s="8">
        <f t="shared" si="3"/>
        <v>5.6371222288733662</v>
      </c>
      <c r="S22" s="32">
        <v>731341359270</v>
      </c>
      <c r="T22" s="8">
        <f t="shared" si="4"/>
        <v>27.318146163442503</v>
      </c>
    </row>
    <row r="23" spans="1:20" x14ac:dyDescent="0.35">
      <c r="A23" s="2">
        <v>7</v>
      </c>
      <c r="B23" s="1" t="s">
        <v>117</v>
      </c>
      <c r="C23" s="1">
        <v>2023</v>
      </c>
      <c r="D23" s="32">
        <v>221400000000</v>
      </c>
      <c r="E23" s="32">
        <v>615100361501</v>
      </c>
      <c r="F23" s="32">
        <f t="shared" si="0"/>
        <v>836500361501</v>
      </c>
      <c r="G23" s="32">
        <v>726111487745</v>
      </c>
      <c r="H23" s="44">
        <f t="shared" si="1"/>
        <v>1.1520274442962222</v>
      </c>
      <c r="I23" s="26">
        <v>0.61111000000000004</v>
      </c>
      <c r="J23" s="2">
        <v>3</v>
      </c>
      <c r="K23" s="32">
        <v>37958342902</v>
      </c>
      <c r="L23" s="32">
        <v>726111487745</v>
      </c>
      <c r="M23" s="32">
        <v>615100361501</v>
      </c>
      <c r="N23" s="32">
        <v>726111487745</v>
      </c>
      <c r="O23" s="26">
        <f t="shared" si="2"/>
        <v>0.89939178132428177</v>
      </c>
      <c r="P23" s="32">
        <v>615100361501</v>
      </c>
      <c r="Q23" s="32">
        <v>111011126244</v>
      </c>
      <c r="R23" s="8">
        <f t="shared" si="3"/>
        <v>5.540889299231349</v>
      </c>
      <c r="S23" s="32">
        <v>726111487745</v>
      </c>
      <c r="T23" s="8">
        <f t="shared" si="4"/>
        <v>27.310969404368457</v>
      </c>
    </row>
    <row r="24" spans="1:20" x14ac:dyDescent="0.35">
      <c r="A24" s="3">
        <v>7</v>
      </c>
      <c r="B24" s="4" t="s">
        <v>117</v>
      </c>
      <c r="C24" s="4">
        <v>2024</v>
      </c>
      <c r="D24" s="33">
        <v>333000000000</v>
      </c>
      <c r="E24" s="33">
        <v>647423349628</v>
      </c>
      <c r="F24" s="33">
        <f t="shared" si="0"/>
        <v>980423349628</v>
      </c>
      <c r="G24" s="33">
        <v>704587096783</v>
      </c>
      <c r="H24" s="45">
        <f t="shared" si="1"/>
        <v>1.3914863813209348</v>
      </c>
      <c r="I24" s="27">
        <v>0.61111000000000004</v>
      </c>
      <c r="J24" s="3">
        <v>3</v>
      </c>
      <c r="K24" s="33">
        <v>93486306573</v>
      </c>
      <c r="L24" s="33">
        <v>704587096783</v>
      </c>
      <c r="M24" s="33">
        <v>647423349628</v>
      </c>
      <c r="N24" s="33">
        <v>704587096783</v>
      </c>
      <c r="O24" s="27">
        <f t="shared" si="2"/>
        <v>1.0515515535039477</v>
      </c>
      <c r="P24" s="33">
        <v>647423349628</v>
      </c>
      <c r="Q24" s="33">
        <v>57163747155</v>
      </c>
      <c r="R24" s="9">
        <f t="shared" si="3"/>
        <v>11.325768198374154</v>
      </c>
      <c r="S24" s="33">
        <v>704587096783</v>
      </c>
      <c r="T24" s="9">
        <f t="shared" si="4"/>
        <v>27.280877789860149</v>
      </c>
    </row>
    <row r="25" spans="1:20" x14ac:dyDescent="0.35">
      <c r="A25" s="2">
        <v>8</v>
      </c>
      <c r="B25" s="1" t="s">
        <v>118</v>
      </c>
      <c r="C25" s="1">
        <v>2022</v>
      </c>
      <c r="D25" s="32">
        <v>1276592542500</v>
      </c>
      <c r="E25" s="32">
        <f>15873*50621600</f>
        <v>803516656800</v>
      </c>
      <c r="F25" s="32">
        <f t="shared" si="0"/>
        <v>2080109199300</v>
      </c>
      <c r="G25" s="32">
        <f>15873*133941143</f>
        <v>2126047762839</v>
      </c>
      <c r="H25" s="44">
        <f t="shared" si="1"/>
        <v>0.97839250634818464</v>
      </c>
      <c r="I25" s="26">
        <v>0.66666999999999998</v>
      </c>
      <c r="J25" s="2">
        <v>3</v>
      </c>
      <c r="K25" s="32">
        <f>15873*11134047</f>
        <v>176730728031</v>
      </c>
      <c r="L25" s="32">
        <v>2126047762839</v>
      </c>
      <c r="M25" s="32">
        <v>803516656800</v>
      </c>
      <c r="N25" s="32">
        <v>2126047762839</v>
      </c>
      <c r="O25" s="26">
        <f t="shared" si="2"/>
        <v>0.46106555175507202</v>
      </c>
      <c r="P25" s="32">
        <v>803516656800</v>
      </c>
      <c r="Q25" s="32">
        <f>15873*83319543</f>
        <v>1322531106039</v>
      </c>
      <c r="R25" s="8">
        <f t="shared" si="3"/>
        <v>0.60755974141624858</v>
      </c>
      <c r="S25" s="32">
        <v>2126047762839</v>
      </c>
      <c r="T25" s="8">
        <f t="shared" si="4"/>
        <v>28.385285861653802</v>
      </c>
    </row>
    <row r="26" spans="1:20" x14ac:dyDescent="0.35">
      <c r="A26" s="2">
        <v>8</v>
      </c>
      <c r="B26" s="1" t="s">
        <v>118</v>
      </c>
      <c r="C26" s="1">
        <v>2023</v>
      </c>
      <c r="D26" s="32">
        <v>3185478570000</v>
      </c>
      <c r="E26" s="32">
        <f>15385*68713574</f>
        <v>1057158335990</v>
      </c>
      <c r="F26" s="32">
        <f t="shared" si="0"/>
        <v>4242636905990</v>
      </c>
      <c r="G26" s="32">
        <f>15385*171146562</f>
        <v>2633089856370</v>
      </c>
      <c r="H26" s="44">
        <f t="shared" si="1"/>
        <v>1.6112769170129786</v>
      </c>
      <c r="I26" s="26">
        <v>0.72221999999999997</v>
      </c>
      <c r="J26" s="2">
        <v>3</v>
      </c>
      <c r="K26" s="32">
        <f>15385*7631263</f>
        <v>117406981255</v>
      </c>
      <c r="L26" s="32">
        <v>2633089856370</v>
      </c>
      <c r="M26" s="32">
        <v>1057158335900</v>
      </c>
      <c r="N26" s="32">
        <v>2633089856370</v>
      </c>
      <c r="O26" s="26">
        <f t="shared" si="2"/>
        <v>0.44607870647235176</v>
      </c>
      <c r="P26" s="32">
        <v>1057158335900</v>
      </c>
      <c r="Q26" s="32">
        <f>15385*102384228</f>
        <v>1575181347780</v>
      </c>
      <c r="R26" s="8">
        <f t="shared" si="3"/>
        <v>0.67113436645876889</v>
      </c>
      <c r="S26" s="32">
        <v>2633089856370</v>
      </c>
      <c r="T26" s="8">
        <f t="shared" si="4"/>
        <v>28.599179122852433</v>
      </c>
    </row>
    <row r="27" spans="1:20" x14ac:dyDescent="0.35">
      <c r="A27" s="3">
        <v>8</v>
      </c>
      <c r="B27" s="4" t="s">
        <v>118</v>
      </c>
      <c r="C27" s="4">
        <v>2024</v>
      </c>
      <c r="D27" s="33">
        <v>5914745385000</v>
      </c>
      <c r="E27" s="33">
        <f>16129*69734770</f>
        <v>1124752105330</v>
      </c>
      <c r="F27" s="33">
        <f t="shared" si="0"/>
        <v>7039497490330</v>
      </c>
      <c r="G27" s="33">
        <f>16129*198623055</f>
        <v>3203591254095</v>
      </c>
      <c r="H27" s="45">
        <f t="shared" si="1"/>
        <v>2.1973769223310686</v>
      </c>
      <c r="I27" s="27">
        <v>0.72221999999999997</v>
      </c>
      <c r="J27" s="3">
        <v>3</v>
      </c>
      <c r="K27" s="33">
        <f>16129*28882336</f>
        <v>465843197344</v>
      </c>
      <c r="L27" s="33">
        <v>3203591254095</v>
      </c>
      <c r="M27" s="33">
        <v>1124752105330</v>
      </c>
      <c r="N27" s="33">
        <v>3203591254095</v>
      </c>
      <c r="O27" s="27">
        <f t="shared" si="2"/>
        <v>0.49650382227783174</v>
      </c>
      <c r="P27" s="33">
        <v>1124752105330</v>
      </c>
      <c r="Q27" s="33">
        <f>16129*128839679</f>
        <v>2078055182591</v>
      </c>
      <c r="R27" s="9">
        <f t="shared" si="3"/>
        <v>0.54125227989740643</v>
      </c>
      <c r="S27" s="33">
        <v>3203591254095</v>
      </c>
      <c r="T27" s="9">
        <f t="shared" si="4"/>
        <v>28.795293563368176</v>
      </c>
    </row>
    <row r="28" spans="1:20" x14ac:dyDescent="0.35">
      <c r="A28" s="2">
        <v>9</v>
      </c>
      <c r="B28" s="1" t="s">
        <v>119</v>
      </c>
      <c r="C28" s="1">
        <v>2022</v>
      </c>
      <c r="D28" s="32">
        <v>1395617500000</v>
      </c>
      <c r="E28" s="32">
        <v>1046603698108</v>
      </c>
      <c r="F28" s="32">
        <f t="shared" si="0"/>
        <v>2442221198108</v>
      </c>
      <c r="G28" s="32">
        <v>2106446579086</v>
      </c>
      <c r="H28" s="44">
        <f t="shared" si="1"/>
        <v>1.1594033394227803</v>
      </c>
      <c r="I28" s="26">
        <v>0.61111000000000004</v>
      </c>
      <c r="J28" s="2">
        <v>3</v>
      </c>
      <c r="K28" s="32">
        <v>56074605534</v>
      </c>
      <c r="L28" s="32">
        <v>2106446579086</v>
      </c>
      <c r="M28" s="32">
        <v>1046603698108</v>
      </c>
      <c r="N28" s="32">
        <v>2106446579086</v>
      </c>
      <c r="O28" s="26">
        <f t="shared" si="2"/>
        <v>0.52347793416173827</v>
      </c>
      <c r="P28" s="32">
        <v>1046603698108</v>
      </c>
      <c r="Q28" s="32">
        <v>1059842880978</v>
      </c>
      <c r="R28" s="8">
        <f t="shared" si="3"/>
        <v>0.98750835325913289</v>
      </c>
      <c r="S28" s="32">
        <v>2106446579086</v>
      </c>
      <c r="T28" s="8">
        <f t="shared" si="4"/>
        <v>28.376023558008782</v>
      </c>
    </row>
    <row r="29" spans="1:20" x14ac:dyDescent="0.35">
      <c r="A29" s="2">
        <v>9</v>
      </c>
      <c r="B29" s="1" t="s">
        <v>119</v>
      </c>
      <c r="C29" s="1">
        <v>2023</v>
      </c>
      <c r="D29" s="32">
        <v>1220010000000</v>
      </c>
      <c r="E29" s="32">
        <v>954226747571</v>
      </c>
      <c r="F29" s="32">
        <f t="shared" si="0"/>
        <v>2174236747571</v>
      </c>
      <c r="G29" s="32">
        <v>2228129147603</v>
      </c>
      <c r="H29" s="44">
        <f t="shared" si="1"/>
        <v>0.97581271261139557</v>
      </c>
      <c r="I29" s="26">
        <v>0.61111000000000004</v>
      </c>
      <c r="J29" s="2">
        <v>3</v>
      </c>
      <c r="K29" s="32">
        <v>6786815364</v>
      </c>
      <c r="L29" s="32">
        <v>2228129147603</v>
      </c>
      <c r="M29" s="32">
        <v>954226747571</v>
      </c>
      <c r="N29" s="32">
        <v>2228129147603</v>
      </c>
      <c r="O29" s="26">
        <f t="shared" si="2"/>
        <v>0.43130963210496537</v>
      </c>
      <c r="P29" s="32">
        <v>954226747571</v>
      </c>
      <c r="Q29" s="32">
        <v>1273902400032</v>
      </c>
      <c r="R29" s="8">
        <f t="shared" si="3"/>
        <v>0.74905797143252906</v>
      </c>
      <c r="S29" s="32">
        <v>228129147603</v>
      </c>
      <c r="T29" s="8">
        <f t="shared" si="4"/>
        <v>26.153177742391314</v>
      </c>
    </row>
    <row r="30" spans="1:20" x14ac:dyDescent="0.35">
      <c r="A30" s="3">
        <v>9</v>
      </c>
      <c r="B30" s="4" t="s">
        <v>119</v>
      </c>
      <c r="C30" s="4">
        <v>2024</v>
      </c>
      <c r="D30" s="33">
        <v>887280000000</v>
      </c>
      <c r="E30" s="33">
        <v>1399270861628</v>
      </c>
      <c r="F30" s="33">
        <f t="shared" si="0"/>
        <v>2286550861628</v>
      </c>
      <c r="G30" s="33">
        <v>2755475158820</v>
      </c>
      <c r="H30" s="45">
        <f t="shared" si="1"/>
        <v>0.82982089470448672</v>
      </c>
      <c r="I30" s="27">
        <v>0.66666999999999998</v>
      </c>
      <c r="J30" s="3">
        <v>3</v>
      </c>
      <c r="K30" s="33">
        <v>49531154405</v>
      </c>
      <c r="L30" s="33">
        <v>2755475158820</v>
      </c>
      <c r="M30" s="33">
        <v>1399270861628</v>
      </c>
      <c r="N30" s="33">
        <v>2755475158820</v>
      </c>
      <c r="O30" s="27">
        <f t="shared" si="2"/>
        <v>0.52579026575345089</v>
      </c>
      <c r="P30" s="33">
        <v>1399270861628</v>
      </c>
      <c r="Q30" s="33">
        <v>1356204297192</v>
      </c>
      <c r="R30" s="9">
        <f t="shared" si="3"/>
        <v>1.0317552189778256</v>
      </c>
      <c r="S30" s="33">
        <v>2755475158820</v>
      </c>
      <c r="T30" s="9">
        <f t="shared" si="4"/>
        <v>28.644611015102953</v>
      </c>
    </row>
    <row r="31" spans="1:20" x14ac:dyDescent="0.35">
      <c r="A31" s="2">
        <v>10</v>
      </c>
      <c r="B31" s="1" t="s">
        <v>160</v>
      </c>
      <c r="C31" s="1">
        <v>2022</v>
      </c>
      <c r="D31" s="32">
        <v>167270400000</v>
      </c>
      <c r="E31" s="32">
        <v>1257313269665</v>
      </c>
      <c r="F31" s="32">
        <f>D31+G31</f>
        <v>1722066374228</v>
      </c>
      <c r="G31" s="32">
        <v>1554795974228</v>
      </c>
      <c r="H31" s="44">
        <f t="shared" si="1"/>
        <v>1.1075835046994218</v>
      </c>
      <c r="I31" s="26">
        <v>0.55556000000000005</v>
      </c>
      <c r="J31" s="2">
        <v>3</v>
      </c>
      <c r="K31" s="32">
        <v>84163401315</v>
      </c>
      <c r="L31" s="32">
        <v>1554795974228</v>
      </c>
      <c r="M31" s="32">
        <v>1257313269665</v>
      </c>
      <c r="N31" s="32">
        <v>1554795974228</v>
      </c>
      <c r="O31" s="26">
        <f t="shared" si="2"/>
        <v>0.86279916671773027</v>
      </c>
      <c r="P31" s="32">
        <v>1257313269665</v>
      </c>
      <c r="Q31" s="32">
        <v>297482704563</v>
      </c>
      <c r="R31" s="8">
        <f t="shared" si="3"/>
        <v>4.226508803299958</v>
      </c>
      <c r="S31" s="32">
        <v>1554795974228</v>
      </c>
      <c r="T31" s="8">
        <f t="shared" si="4"/>
        <v>28.072365446667202</v>
      </c>
    </row>
    <row r="32" spans="1:20" x14ac:dyDescent="0.35">
      <c r="A32" s="2">
        <v>10</v>
      </c>
      <c r="B32" s="1" t="s">
        <v>160</v>
      </c>
      <c r="C32" s="1">
        <v>2023</v>
      </c>
      <c r="D32" s="32">
        <v>129254400000</v>
      </c>
      <c r="E32" s="32">
        <v>1202948785324</v>
      </c>
      <c r="F32" s="32">
        <f>D32+G32</f>
        <v>1606127233252</v>
      </c>
      <c r="G32" s="32">
        <v>1476872833252</v>
      </c>
      <c r="H32" s="44">
        <f t="shared" si="1"/>
        <v>1.087518977321418</v>
      </c>
      <c r="I32" s="26">
        <v>0.55556000000000005</v>
      </c>
      <c r="J32" s="2">
        <v>3</v>
      </c>
      <c r="K32" s="32">
        <v>29522718095</v>
      </c>
      <c r="L32" s="32">
        <v>1476872833252</v>
      </c>
      <c r="M32" s="32">
        <v>1202948785324</v>
      </c>
      <c r="N32" s="32">
        <v>1476872833252</v>
      </c>
      <c r="O32" s="26">
        <f t="shared" si="2"/>
        <v>0.83451430324245279</v>
      </c>
      <c r="P32" s="32">
        <v>1202948785324</v>
      </c>
      <c r="Q32" s="32">
        <v>273924047928</v>
      </c>
      <c r="R32" s="8">
        <f t="shared" si="3"/>
        <v>4.3915413576254938</v>
      </c>
      <c r="S32" s="32">
        <v>1476872833252</v>
      </c>
      <c r="T32" s="8">
        <f t="shared" si="4"/>
        <v>28.02094801776979</v>
      </c>
    </row>
    <row r="33" spans="1:20" x14ac:dyDescent="0.35">
      <c r="A33" s="3">
        <v>10</v>
      </c>
      <c r="B33" s="4" t="s">
        <v>160</v>
      </c>
      <c r="C33" s="4">
        <v>2024</v>
      </c>
      <c r="D33" s="33">
        <v>60825600000</v>
      </c>
      <c r="E33" s="33">
        <v>1045017291687</v>
      </c>
      <c r="F33" s="33">
        <f>D33+G33</f>
        <v>1301908694623</v>
      </c>
      <c r="G33" s="33">
        <v>1241083094623</v>
      </c>
      <c r="H33" s="45">
        <f t="shared" si="1"/>
        <v>1.0490100947015775</v>
      </c>
      <c r="I33" s="27">
        <v>0.55556000000000005</v>
      </c>
      <c r="J33" s="3">
        <v>3</v>
      </c>
      <c r="K33" s="33">
        <v>16843699661</v>
      </c>
      <c r="L33" s="33">
        <v>1241083094623</v>
      </c>
      <c r="M33" s="33">
        <v>1045017291687</v>
      </c>
      <c r="N33" s="33">
        <v>1241083094623</v>
      </c>
      <c r="O33" s="27">
        <f t="shared" si="2"/>
        <v>0.85559218069162257</v>
      </c>
      <c r="P33" s="33">
        <v>1045017291687</v>
      </c>
      <c r="Q33" s="33">
        <v>196065802936</v>
      </c>
      <c r="R33" s="9">
        <f t="shared" si="3"/>
        <v>5.3299314619802187</v>
      </c>
      <c r="S33" s="33">
        <v>1241083094623</v>
      </c>
      <c r="T33" s="9">
        <f t="shared" si="4"/>
        <v>27.847005577703968</v>
      </c>
    </row>
    <row r="34" spans="1:20" x14ac:dyDescent="0.35">
      <c r="A34" s="2">
        <v>11</v>
      </c>
      <c r="B34" s="1" t="s">
        <v>120</v>
      </c>
      <c r="C34" s="1">
        <v>2022</v>
      </c>
      <c r="D34" s="32">
        <v>1767754040000</v>
      </c>
      <c r="E34" s="32">
        <v>3261369000000</v>
      </c>
      <c r="F34" s="32">
        <f t="shared" si="0"/>
        <v>5029123040000</v>
      </c>
      <c r="G34" s="32">
        <v>7405931000000</v>
      </c>
      <c r="H34" s="44">
        <f t="shared" si="1"/>
        <v>0.67906695863085953</v>
      </c>
      <c r="I34" s="26">
        <v>0.77778000000000003</v>
      </c>
      <c r="J34" s="2">
        <v>3</v>
      </c>
      <c r="K34" s="32">
        <v>50178000000</v>
      </c>
      <c r="L34" s="32">
        <v>7405931000000</v>
      </c>
      <c r="M34" s="32">
        <v>3261369000000</v>
      </c>
      <c r="N34" s="32">
        <v>7405931000000</v>
      </c>
      <c r="O34" s="26">
        <f t="shared" si="2"/>
        <v>0.44714796829730119</v>
      </c>
      <c r="P34" s="32">
        <v>3261369000000</v>
      </c>
      <c r="Q34" s="32">
        <v>4144535000000</v>
      </c>
      <c r="R34" s="8">
        <f t="shared" si="3"/>
        <v>0.7869083021376343</v>
      </c>
      <c r="S34" s="32">
        <v>7405931000000</v>
      </c>
      <c r="T34" s="8">
        <f t="shared" si="4"/>
        <v>29.633302281606383</v>
      </c>
    </row>
    <row r="35" spans="1:20" x14ac:dyDescent="0.35">
      <c r="A35" s="2">
        <v>11</v>
      </c>
      <c r="B35" s="1" t="s">
        <v>120</v>
      </c>
      <c r="C35" s="1">
        <v>2023</v>
      </c>
      <c r="D35" s="32">
        <v>2098309674220</v>
      </c>
      <c r="E35" s="32">
        <v>3353362000000</v>
      </c>
      <c r="F35" s="32">
        <f t="shared" si="0"/>
        <v>5451671674220</v>
      </c>
      <c r="G35" s="32">
        <v>7971708000000</v>
      </c>
      <c r="H35" s="44">
        <f t="shared" si="1"/>
        <v>0.68387749202805725</v>
      </c>
      <c r="I35" s="26">
        <v>0.77778000000000003</v>
      </c>
      <c r="J35" s="2">
        <v>3</v>
      </c>
      <c r="K35" s="32">
        <v>176938000000</v>
      </c>
      <c r="L35" s="32">
        <v>7971708000000</v>
      </c>
      <c r="M35" s="32">
        <v>3353362000000</v>
      </c>
      <c r="N35" s="32">
        <v>7971708000000</v>
      </c>
      <c r="O35" s="26">
        <f t="shared" si="2"/>
        <v>0.44285365194008613</v>
      </c>
      <c r="P35" s="32">
        <v>3353362000000</v>
      </c>
      <c r="Q35" s="32">
        <v>4618346000000</v>
      </c>
      <c r="R35" s="8">
        <f t="shared" si="3"/>
        <v>0.72609587934728148</v>
      </c>
      <c r="S35" s="32">
        <v>7971708000000</v>
      </c>
      <c r="T35" s="8">
        <f t="shared" si="4"/>
        <v>29.706919889409573</v>
      </c>
    </row>
    <row r="36" spans="1:20" x14ac:dyDescent="0.35">
      <c r="A36" s="3">
        <v>11</v>
      </c>
      <c r="B36" s="4" t="s">
        <v>120</v>
      </c>
      <c r="C36" s="4">
        <v>2024</v>
      </c>
      <c r="D36" s="33">
        <v>1925845865380</v>
      </c>
      <c r="E36" s="33">
        <v>3251676000000</v>
      </c>
      <c r="F36" s="33">
        <f t="shared" si="0"/>
        <v>5177521865380</v>
      </c>
      <c r="G36" s="33">
        <v>8295427000000</v>
      </c>
      <c r="H36" s="45">
        <f t="shared" si="1"/>
        <v>0.62414169462042157</v>
      </c>
      <c r="I36" s="27">
        <v>0.77778000000000003</v>
      </c>
      <c r="J36" s="3">
        <v>3</v>
      </c>
      <c r="K36" s="33">
        <v>503649000000</v>
      </c>
      <c r="L36" s="33">
        <v>8295427000000</v>
      </c>
      <c r="M36" s="33">
        <v>3251676000000</v>
      </c>
      <c r="N36" s="33">
        <v>8295427000000</v>
      </c>
      <c r="O36" s="27">
        <f t="shared" si="2"/>
        <v>0.45269821553489648</v>
      </c>
      <c r="P36" s="33">
        <v>3251676000000</v>
      </c>
      <c r="Q36" s="33">
        <v>5043751000000</v>
      </c>
      <c r="R36" s="9">
        <f t="shared" si="3"/>
        <v>0.64469399857368059</v>
      </c>
      <c r="S36" s="33">
        <v>8295427000000</v>
      </c>
      <c r="T36" s="9">
        <f t="shared" si="4"/>
        <v>29.746725515039319</v>
      </c>
    </row>
    <row r="37" spans="1:20" x14ac:dyDescent="0.35">
      <c r="A37" s="2">
        <v>12</v>
      </c>
      <c r="B37" s="1" t="s">
        <v>121</v>
      </c>
      <c r="C37" s="1">
        <v>2022</v>
      </c>
      <c r="D37" s="32">
        <v>6306925389400</v>
      </c>
      <c r="E37" s="32">
        <f>15592*2609848000</f>
        <v>40692750016000</v>
      </c>
      <c r="F37" s="32">
        <f t="shared" si="0"/>
        <v>46999675405400</v>
      </c>
      <c r="G37" s="32">
        <f>15592*3162434000</f>
        <v>49308670928000</v>
      </c>
      <c r="H37" s="44">
        <f t="shared" si="1"/>
        <v>0.95317262706245787</v>
      </c>
      <c r="I37" s="26">
        <v>0.77778000000000003</v>
      </c>
      <c r="J37" s="2">
        <v>3</v>
      </c>
      <c r="K37" s="32">
        <f>15592*78866000</f>
        <v>1229678672000</v>
      </c>
      <c r="L37" s="32">
        <v>49308670928000</v>
      </c>
      <c r="M37" s="32">
        <v>40692750016000</v>
      </c>
      <c r="N37" s="32">
        <v>49308670928000</v>
      </c>
      <c r="O37" s="26">
        <f t="shared" si="2"/>
        <v>0.85020398844687362</v>
      </c>
      <c r="P37" s="32">
        <v>40692750016000</v>
      </c>
      <c r="Q37" s="32">
        <f>15592*552586000</f>
        <v>8615920912000</v>
      </c>
      <c r="R37" s="8">
        <f t="shared" si="3"/>
        <v>4.7229716279456957</v>
      </c>
      <c r="S37" s="32">
        <v>49308670928000</v>
      </c>
      <c r="T37" s="8">
        <f t="shared" si="4"/>
        <v>31.529121062404457</v>
      </c>
    </row>
    <row r="38" spans="1:20" x14ac:dyDescent="0.35">
      <c r="A38" s="2">
        <v>12</v>
      </c>
      <c r="B38" s="1" t="s">
        <v>121</v>
      </c>
      <c r="C38" s="1">
        <v>2023</v>
      </c>
      <c r="D38" s="32">
        <v>2747188359800</v>
      </c>
      <c r="E38" s="32">
        <f>15439*2352388000</f>
        <v>36318518332000</v>
      </c>
      <c r="F38" s="32">
        <f t="shared" si="0"/>
        <v>39065706691800</v>
      </c>
      <c r="G38" s="32">
        <f>15439*2849189000</f>
        <v>43988628971000</v>
      </c>
      <c r="H38" s="44">
        <f t="shared" si="1"/>
        <v>0.88808648065741058</v>
      </c>
      <c r="I38" s="26">
        <v>0.77778000000000003</v>
      </c>
      <c r="J38" s="2">
        <v>3</v>
      </c>
      <c r="K38" s="32">
        <f>15439*102704000</f>
        <v>1585647056000</v>
      </c>
      <c r="L38" s="32">
        <v>43988628971000</v>
      </c>
      <c r="M38" s="32">
        <v>36318518332000</v>
      </c>
      <c r="N38" s="32">
        <v>43988628971000</v>
      </c>
      <c r="O38" s="26">
        <f t="shared" si="2"/>
        <v>0.86168099062575343</v>
      </c>
      <c r="P38" s="32">
        <v>36318518332000</v>
      </c>
      <c r="Q38" s="32">
        <f>15439*496801000</f>
        <v>7670110639000</v>
      </c>
      <c r="R38" s="8">
        <f t="shared" si="3"/>
        <v>4.7350709841566339</v>
      </c>
      <c r="S38" s="32">
        <v>43988628971000</v>
      </c>
      <c r="T38" s="8">
        <f t="shared" si="4"/>
        <v>31.414952283970109</v>
      </c>
    </row>
    <row r="39" spans="1:20" x14ac:dyDescent="0.35">
      <c r="A39" s="3">
        <v>12</v>
      </c>
      <c r="B39" s="4" t="s">
        <v>121</v>
      </c>
      <c r="C39" s="4">
        <v>2024</v>
      </c>
      <c r="D39" s="33">
        <v>1953986086900</v>
      </c>
      <c r="E39" s="33">
        <f>16157*2459433000</f>
        <v>39737058981000</v>
      </c>
      <c r="F39" s="33">
        <f t="shared" si="0"/>
        <v>41691045067900</v>
      </c>
      <c r="G39" s="33">
        <f>16157*2894616000</f>
        <v>46768310712000</v>
      </c>
      <c r="H39" s="45">
        <f t="shared" si="1"/>
        <v>0.89143790813044577</v>
      </c>
      <c r="I39" s="27">
        <v>0.77778000000000003</v>
      </c>
      <c r="J39" s="3">
        <v>3</v>
      </c>
      <c r="K39" s="33">
        <f>16157*100304000</f>
        <v>1620611728000</v>
      </c>
      <c r="L39" s="33">
        <v>46768310712000</v>
      </c>
      <c r="M39" s="33">
        <v>39737058981000</v>
      </c>
      <c r="N39" s="33">
        <v>46768310712000</v>
      </c>
      <c r="O39" s="27">
        <f t="shared" si="2"/>
        <v>0.88430969772847234</v>
      </c>
      <c r="P39" s="33">
        <v>39737058981000</v>
      </c>
      <c r="Q39" s="33">
        <f>16157*435183000</f>
        <v>7031251731000</v>
      </c>
      <c r="R39" s="9">
        <f t="shared" si="3"/>
        <v>5.6514914415314941</v>
      </c>
      <c r="S39" s="33">
        <v>46768310712000</v>
      </c>
      <c r="T39" s="9">
        <f t="shared" si="4"/>
        <v>31.47622696796336</v>
      </c>
    </row>
    <row r="40" spans="1:20" x14ac:dyDescent="0.35">
      <c r="A40" s="2">
        <v>13</v>
      </c>
      <c r="B40" s="1" t="s">
        <v>122</v>
      </c>
      <c r="C40" s="1">
        <v>2022</v>
      </c>
      <c r="D40" s="32">
        <v>439535200000</v>
      </c>
      <c r="E40" s="32">
        <v>209683140222</v>
      </c>
      <c r="F40" s="32">
        <f t="shared" si="0"/>
        <v>649218340222</v>
      </c>
      <c r="G40" s="32">
        <v>684497878481</v>
      </c>
      <c r="H40" s="44">
        <f t="shared" si="1"/>
        <v>0.94845924382221547</v>
      </c>
      <c r="I40" s="26">
        <v>0.55556000000000005</v>
      </c>
      <c r="J40" s="2">
        <v>2</v>
      </c>
      <c r="K40" s="32">
        <v>47307400933</v>
      </c>
      <c r="L40" s="32">
        <v>648497878481</v>
      </c>
      <c r="M40" s="32">
        <v>209683140222</v>
      </c>
      <c r="N40" s="32">
        <v>648497878481</v>
      </c>
      <c r="O40" s="26">
        <f t="shared" si="2"/>
        <v>0.39628586257977938</v>
      </c>
      <c r="P40" s="32">
        <v>209683140222</v>
      </c>
      <c r="Q40" s="32">
        <v>474814738259</v>
      </c>
      <c r="R40" s="8">
        <f t="shared" si="3"/>
        <v>0.44161042892401309</v>
      </c>
      <c r="S40" s="32">
        <v>648497878481</v>
      </c>
      <c r="T40" s="8">
        <f t="shared" si="4"/>
        <v>27.197924569272732</v>
      </c>
    </row>
    <row r="41" spans="1:20" x14ac:dyDescent="0.35">
      <c r="A41" s="2">
        <v>13</v>
      </c>
      <c r="B41" s="1" t="s">
        <v>122</v>
      </c>
      <c r="C41" s="1">
        <v>2023</v>
      </c>
      <c r="D41" s="32">
        <v>299092000000</v>
      </c>
      <c r="E41" s="32">
        <v>251503203972</v>
      </c>
      <c r="F41" s="32">
        <f t="shared" si="0"/>
        <v>550595203972</v>
      </c>
      <c r="G41" s="32">
        <v>742886859560</v>
      </c>
      <c r="H41" s="44">
        <f t="shared" si="1"/>
        <v>0.74115620284104733</v>
      </c>
      <c r="I41" s="26">
        <v>0.55556000000000005</v>
      </c>
      <c r="J41" s="2">
        <v>2</v>
      </c>
      <c r="K41" s="32">
        <v>64111821075</v>
      </c>
      <c r="L41" s="32">
        <v>742886859560</v>
      </c>
      <c r="M41" s="32">
        <v>251503203972</v>
      </c>
      <c r="N41" s="32">
        <v>742886859560</v>
      </c>
      <c r="O41" s="26">
        <f t="shared" si="2"/>
        <v>0.42484938451318649</v>
      </c>
      <c r="P41" s="32">
        <v>251503203972</v>
      </c>
      <c r="Q41" s="32">
        <v>491383655588</v>
      </c>
      <c r="R41" s="8">
        <f t="shared" si="3"/>
        <v>0.51182655571041735</v>
      </c>
      <c r="S41" s="32">
        <v>742886859560</v>
      </c>
      <c r="T41" s="8">
        <f t="shared" si="4"/>
        <v>27.333809594914353</v>
      </c>
    </row>
    <row r="42" spans="1:20" x14ac:dyDescent="0.35">
      <c r="A42" s="3">
        <v>13</v>
      </c>
      <c r="B42" s="4" t="s">
        <v>122</v>
      </c>
      <c r="C42" s="4">
        <v>2024</v>
      </c>
      <c r="D42" s="33">
        <v>298604000000</v>
      </c>
      <c r="E42" s="33">
        <v>213118952936</v>
      </c>
      <c r="F42" s="33">
        <f t="shared" si="0"/>
        <v>511722952936</v>
      </c>
      <c r="G42" s="33">
        <v>714173448726</v>
      </c>
      <c r="H42" s="45">
        <f t="shared" si="1"/>
        <v>0.71652475158359996</v>
      </c>
      <c r="I42" s="27">
        <v>0.55556000000000005</v>
      </c>
      <c r="J42" s="3">
        <v>2</v>
      </c>
      <c r="K42" s="33">
        <v>144076149622</v>
      </c>
      <c r="L42" s="33">
        <v>714173448726</v>
      </c>
      <c r="M42" s="33">
        <v>213118952936</v>
      </c>
      <c r="N42" s="33">
        <v>714173448726</v>
      </c>
      <c r="O42" s="27">
        <f t="shared" si="2"/>
        <v>0.5001517533243407</v>
      </c>
      <c r="P42" s="33">
        <v>213118952936</v>
      </c>
      <c r="Q42" s="33">
        <v>501054495790</v>
      </c>
      <c r="R42" s="9">
        <f t="shared" si="3"/>
        <v>0.42534086556788742</v>
      </c>
      <c r="S42" s="33">
        <v>714173448726</v>
      </c>
      <c r="T42" s="9">
        <f t="shared" si="4"/>
        <v>27.294391695170955</v>
      </c>
    </row>
    <row r="43" spans="1:20" x14ac:dyDescent="0.35">
      <c r="A43" s="2">
        <v>14</v>
      </c>
      <c r="B43" s="1" t="s">
        <v>123</v>
      </c>
      <c r="C43" s="1">
        <v>2022</v>
      </c>
      <c r="D43" s="32">
        <v>1640177500000</v>
      </c>
      <c r="E43" s="32">
        <f>15731*136473263</f>
        <v>2146860900253</v>
      </c>
      <c r="F43" s="32">
        <f t="shared" si="0"/>
        <v>3787038400253</v>
      </c>
      <c r="G43" s="32">
        <f>15731*196375128</f>
        <v>3089177138568</v>
      </c>
      <c r="H43" s="44">
        <f t="shared" si="1"/>
        <v>1.2259052266612642</v>
      </c>
      <c r="I43" s="26">
        <v>0.55556000000000005</v>
      </c>
      <c r="J43" s="2">
        <v>3</v>
      </c>
      <c r="K43" s="32">
        <f>15731*24743407</f>
        <v>389238535517</v>
      </c>
      <c r="L43" s="32">
        <v>3089177138568</v>
      </c>
      <c r="M43" s="32">
        <v>2146860900253</v>
      </c>
      <c r="N43" s="32">
        <v>3089177138568</v>
      </c>
      <c r="O43" s="26">
        <f t="shared" si="2"/>
        <v>0.82096277487849689</v>
      </c>
      <c r="P43" s="32">
        <v>2146860900253</v>
      </c>
      <c r="Q43" s="32">
        <f>15731*59901865</f>
        <v>942316238315</v>
      </c>
      <c r="R43" s="8">
        <f t="shared" si="3"/>
        <v>2.278280701276997</v>
      </c>
      <c r="S43" s="32">
        <v>3089177138568</v>
      </c>
      <c r="T43" s="8">
        <f t="shared" si="4"/>
        <v>28.758925873176484</v>
      </c>
    </row>
    <row r="44" spans="1:20" x14ac:dyDescent="0.35">
      <c r="A44" s="2">
        <v>14</v>
      </c>
      <c r="B44" s="1" t="s">
        <v>123</v>
      </c>
      <c r="C44" s="1">
        <v>2023</v>
      </c>
      <c r="D44" s="32">
        <v>767098400000</v>
      </c>
      <c r="E44" s="32">
        <f>15416*80056950</f>
        <v>1234157941200</v>
      </c>
      <c r="F44" s="32">
        <f t="shared" si="0"/>
        <v>2001256341200</v>
      </c>
      <c r="G44" s="32">
        <f>15416*135817817</f>
        <v>2093767466872</v>
      </c>
      <c r="H44" s="44">
        <f t="shared" si="1"/>
        <v>0.95581595036902178</v>
      </c>
      <c r="I44" s="26">
        <v>0.55556000000000005</v>
      </c>
      <c r="J44" s="2">
        <v>3</v>
      </c>
      <c r="K44" s="32">
        <f>15416*9626871</f>
        <v>148407843336</v>
      </c>
      <c r="L44" s="32">
        <v>2093767466872</v>
      </c>
      <c r="M44" s="32">
        <v>1234157941200</v>
      </c>
      <c r="N44" s="32">
        <v>2093767466872</v>
      </c>
      <c r="O44" s="26">
        <f t="shared" si="2"/>
        <v>0.66032441826097088</v>
      </c>
      <c r="P44" s="32">
        <v>1234157941200</v>
      </c>
      <c r="Q44" s="32">
        <f>15416*55760867</f>
        <v>859609525672</v>
      </c>
      <c r="R44" s="8">
        <f t="shared" si="3"/>
        <v>1.4357192473352325</v>
      </c>
      <c r="S44" s="32">
        <v>2093767466872</v>
      </c>
      <c r="T44" s="8">
        <f t="shared" si="4"/>
        <v>28.369986174871617</v>
      </c>
    </row>
    <row r="45" spans="1:20" x14ac:dyDescent="0.35">
      <c r="A45" s="41">
        <v>14</v>
      </c>
      <c r="B45" s="4" t="s">
        <v>123</v>
      </c>
      <c r="C45" s="4">
        <v>2024</v>
      </c>
      <c r="D45" s="33">
        <v>595510600000</v>
      </c>
      <c r="E45" s="33">
        <f>16162*79412078</f>
        <v>1283458004636</v>
      </c>
      <c r="F45" s="33">
        <f t="shared" si="0"/>
        <v>1878968604636</v>
      </c>
      <c r="G45" s="33">
        <f>16162*135260257</f>
        <v>2186076273634</v>
      </c>
      <c r="H45" s="45">
        <f t="shared" si="1"/>
        <v>0.85951648956535132</v>
      </c>
      <c r="I45" s="27">
        <v>0.55556000000000005</v>
      </c>
      <c r="J45" s="3">
        <v>3</v>
      </c>
      <c r="K45" s="33">
        <f>16162*8441057</f>
        <v>136424363234</v>
      </c>
      <c r="L45" s="33">
        <v>2186076273634</v>
      </c>
      <c r="M45" s="33">
        <v>1283458004636</v>
      </c>
      <c r="N45" s="33">
        <v>2186076273634</v>
      </c>
      <c r="O45" s="27">
        <f t="shared" si="2"/>
        <v>0.64951181484151699</v>
      </c>
      <c r="P45" s="33">
        <v>1283458004636</v>
      </c>
      <c r="Q45" s="33">
        <f>16162*55848179</f>
        <v>902618268998</v>
      </c>
      <c r="R45" s="9">
        <f t="shared" si="3"/>
        <v>1.4219277946376729</v>
      </c>
      <c r="S45" s="33">
        <v>2186076273634</v>
      </c>
      <c r="T45" s="9">
        <f t="shared" si="4"/>
        <v>28.413129396947014</v>
      </c>
    </row>
    <row r="46" spans="1:20" x14ac:dyDescent="0.35">
      <c r="A46" s="40">
        <v>15</v>
      </c>
      <c r="B46" s="1" t="s">
        <v>161</v>
      </c>
      <c r="C46" s="1">
        <v>2022</v>
      </c>
      <c r="D46" s="32">
        <v>5907509714000</v>
      </c>
      <c r="E46" s="32">
        <v>4346015000000</v>
      </c>
      <c r="F46" s="32">
        <f t="shared" si="0"/>
        <v>10253524714000</v>
      </c>
      <c r="G46" s="32">
        <v>8041989000000</v>
      </c>
      <c r="H46" s="44">
        <f t="shared" si="1"/>
        <v>1.2749985997245208</v>
      </c>
      <c r="I46" s="26">
        <v>0.61111000000000004</v>
      </c>
      <c r="J46" s="2">
        <v>2</v>
      </c>
      <c r="K46" s="32">
        <v>636907000000</v>
      </c>
      <c r="L46" s="32">
        <v>8041989000000</v>
      </c>
      <c r="M46" s="32">
        <v>4346015000000</v>
      </c>
      <c r="N46" s="32">
        <v>8041989000000</v>
      </c>
      <c r="O46" s="26">
        <f t="shared" si="2"/>
        <v>0.61961313301970444</v>
      </c>
      <c r="P46" s="32">
        <v>4346015000000</v>
      </c>
      <c r="Q46" s="32">
        <v>3695974000000</v>
      </c>
      <c r="R46" s="8">
        <f t="shared" si="3"/>
        <v>1.1758781311773296</v>
      </c>
      <c r="S46" s="32">
        <v>8041989000000</v>
      </c>
      <c r="T46" s="8">
        <f t="shared" si="4"/>
        <v>29.715697556583745</v>
      </c>
    </row>
    <row r="47" spans="1:20" x14ac:dyDescent="0.35">
      <c r="A47" s="40">
        <v>15</v>
      </c>
      <c r="B47" s="1" t="s">
        <v>161</v>
      </c>
      <c r="C47" s="1">
        <v>2023</v>
      </c>
      <c r="D47" s="32">
        <v>4661323200000</v>
      </c>
      <c r="E47" s="32">
        <v>4069613000000</v>
      </c>
      <c r="F47" s="32">
        <f t="shared" si="0"/>
        <v>8730936200000</v>
      </c>
      <c r="G47" s="32">
        <v>7797759000000</v>
      </c>
      <c r="H47" s="44">
        <f t="shared" si="1"/>
        <v>1.1196724853897126</v>
      </c>
      <c r="I47" s="26">
        <v>0.66666999999999998</v>
      </c>
      <c r="J47" s="2">
        <v>3</v>
      </c>
      <c r="K47" s="32">
        <v>574850000000</v>
      </c>
      <c r="L47" s="32">
        <v>7797759000000</v>
      </c>
      <c r="M47" s="32">
        <v>4069613000000</v>
      </c>
      <c r="N47" s="32">
        <v>7797759000000</v>
      </c>
      <c r="O47" s="26">
        <f t="shared" si="2"/>
        <v>0.59561509915861721</v>
      </c>
      <c r="P47" s="32">
        <v>4069613000000</v>
      </c>
      <c r="Q47" s="32">
        <v>3728146000000</v>
      </c>
      <c r="R47" s="8">
        <f t="shared" si="3"/>
        <v>1.0915916383103021</v>
      </c>
      <c r="S47" s="32">
        <v>7797759000000</v>
      </c>
      <c r="T47" s="8">
        <f t="shared" si="4"/>
        <v>29.684857500651024</v>
      </c>
    </row>
    <row r="48" spans="1:20" x14ac:dyDescent="0.35">
      <c r="A48" s="41">
        <v>15</v>
      </c>
      <c r="B48" s="4" t="s">
        <v>161</v>
      </c>
      <c r="C48" s="4">
        <v>2024</v>
      </c>
      <c r="D48" s="33">
        <v>4293324000000</v>
      </c>
      <c r="E48" s="33">
        <v>4221635000000</v>
      </c>
      <c r="F48" s="33">
        <f t="shared" si="0"/>
        <v>8514959000000</v>
      </c>
      <c r="G48" s="33">
        <v>8005185000000</v>
      </c>
      <c r="H48" s="45">
        <f t="shared" si="1"/>
        <v>1.0636804770907855</v>
      </c>
      <c r="I48" s="27">
        <v>0.66666999999999998</v>
      </c>
      <c r="J48" s="3">
        <v>3</v>
      </c>
      <c r="K48" s="33">
        <v>384284000000</v>
      </c>
      <c r="L48" s="33">
        <v>8005185000000</v>
      </c>
      <c r="M48" s="33">
        <v>4221635000000</v>
      </c>
      <c r="N48" s="33">
        <v>8005185000000</v>
      </c>
      <c r="O48" s="27">
        <f t="shared" si="2"/>
        <v>0.57536696528562425</v>
      </c>
      <c r="P48" s="33">
        <v>4221635000000</v>
      </c>
      <c r="Q48" s="33">
        <v>3783550000000</v>
      </c>
      <c r="R48" s="9">
        <f t="shared" si="3"/>
        <v>1.1157867611105972</v>
      </c>
      <c r="S48" s="33">
        <v>8005185000000</v>
      </c>
      <c r="T48" s="9">
        <f t="shared" si="4"/>
        <v>29.711110572666083</v>
      </c>
    </row>
    <row r="49" spans="1:20" x14ac:dyDescent="0.35">
      <c r="A49" s="2">
        <v>16</v>
      </c>
      <c r="B49" s="1" t="s">
        <v>124</v>
      </c>
      <c r="C49" s="1">
        <v>2022</v>
      </c>
      <c r="D49" s="32">
        <v>39030740028000</v>
      </c>
      <c r="E49" s="32">
        <v>1217237000000</v>
      </c>
      <c r="F49" s="32">
        <f t="shared" si="0"/>
        <v>40247977028000</v>
      </c>
      <c r="G49" s="32">
        <v>10792122000000</v>
      </c>
      <c r="H49" s="44">
        <f t="shared" si="1"/>
        <v>3.7293849187397994</v>
      </c>
      <c r="I49" s="26">
        <v>0.61111000000000004</v>
      </c>
      <c r="J49" s="2">
        <v>4</v>
      </c>
      <c r="K49" s="32">
        <v>2170720000000</v>
      </c>
      <c r="L49" s="32">
        <v>10792122000000</v>
      </c>
      <c r="M49" s="32">
        <v>1217237000000</v>
      </c>
      <c r="N49" s="32">
        <v>10792122000000</v>
      </c>
      <c r="O49" s="26">
        <f>(K49/L49)+(M49/N49)</f>
        <v>0.31392871577989945</v>
      </c>
      <c r="P49" s="32">
        <v>1217237000000</v>
      </c>
      <c r="Q49" s="32">
        <v>9574885000000</v>
      </c>
      <c r="R49" s="8">
        <f t="shared" si="3"/>
        <v>0.12712810649945144</v>
      </c>
      <c r="S49" s="32">
        <v>10792122000000</v>
      </c>
      <c r="T49" s="8">
        <f t="shared" si="4"/>
        <v>30.00983753944023</v>
      </c>
    </row>
    <row r="50" spans="1:20" x14ac:dyDescent="0.35">
      <c r="A50" s="2">
        <v>16</v>
      </c>
      <c r="B50" s="1" t="s">
        <v>124</v>
      </c>
      <c r="C50" s="1">
        <v>2023</v>
      </c>
      <c r="D50" s="32">
        <v>30976777800000</v>
      </c>
      <c r="E50" s="32">
        <v>1245498000000</v>
      </c>
      <c r="F50" s="32">
        <f t="shared" si="0"/>
        <v>32222275800000</v>
      </c>
      <c r="G50" s="32">
        <v>11166987000000</v>
      </c>
      <c r="H50" s="44">
        <f t="shared" si="1"/>
        <v>2.8854941623913417</v>
      </c>
      <c r="I50" s="26">
        <v>0.61111000000000004</v>
      </c>
      <c r="J50" s="2">
        <v>4</v>
      </c>
      <c r="K50" s="32">
        <v>1230544000000</v>
      </c>
      <c r="L50" s="32">
        <v>11166987000000</v>
      </c>
      <c r="M50" s="32">
        <v>1245498000000</v>
      </c>
      <c r="N50" s="32">
        <v>11166987000000</v>
      </c>
      <c r="O50" s="26">
        <f t="shared" ref="O50:O84" si="5">(K50/L50)+(M50/N50)</f>
        <v>0.22172874384110952</v>
      </c>
      <c r="P50" s="32">
        <v>1245498000000</v>
      </c>
      <c r="Q50" s="32">
        <v>9921489000000</v>
      </c>
      <c r="R50" s="8">
        <f t="shared" si="3"/>
        <v>0.12553539090755431</v>
      </c>
      <c r="S50" s="32">
        <v>11166987000000</v>
      </c>
      <c r="T50" s="8">
        <f t="shared" si="4"/>
        <v>30.043982952247173</v>
      </c>
    </row>
    <row r="51" spans="1:20" x14ac:dyDescent="0.35">
      <c r="A51" s="3">
        <v>16</v>
      </c>
      <c r="B51" s="4" t="s">
        <v>124</v>
      </c>
      <c r="C51" s="4">
        <v>2024</v>
      </c>
      <c r="D51" s="33">
        <v>24781422240000</v>
      </c>
      <c r="E51" s="33">
        <v>1429095000000</v>
      </c>
      <c r="F51" s="33">
        <f t="shared" si="0"/>
        <v>26210517240000</v>
      </c>
      <c r="G51" s="33">
        <v>11060975000000</v>
      </c>
      <c r="H51" s="45">
        <f t="shared" si="1"/>
        <v>2.369638954974584</v>
      </c>
      <c r="I51" s="27">
        <v>0.61111000000000004</v>
      </c>
      <c r="J51" s="3">
        <v>4</v>
      </c>
      <c r="K51" s="33">
        <v>2329491000000</v>
      </c>
      <c r="L51" s="33">
        <v>11060975000000</v>
      </c>
      <c r="M51" s="33">
        <v>1429095000000</v>
      </c>
      <c r="N51" s="33">
        <v>11060975000000</v>
      </c>
      <c r="O51" s="27">
        <f t="shared" si="5"/>
        <v>0.33980602975777452</v>
      </c>
      <c r="P51" s="33">
        <v>1429095000000</v>
      </c>
      <c r="Q51" s="33">
        <v>9631880000000</v>
      </c>
      <c r="R51" s="9">
        <f t="shared" si="3"/>
        <v>0.14837134598852975</v>
      </c>
      <c r="S51" s="33">
        <v>11060975000000</v>
      </c>
      <c r="T51" s="9">
        <f t="shared" si="4"/>
        <v>30.034444263652638</v>
      </c>
    </row>
    <row r="52" spans="1:20" x14ac:dyDescent="0.35">
      <c r="A52" s="2">
        <v>17</v>
      </c>
      <c r="B52" s="1" t="s">
        <v>125</v>
      </c>
      <c r="C52" s="1">
        <v>2022</v>
      </c>
      <c r="D52" s="32">
        <v>42500000000</v>
      </c>
      <c r="E52" s="32">
        <v>25210354340</v>
      </c>
      <c r="F52" s="32">
        <f t="shared" si="0"/>
        <v>67710354340</v>
      </c>
      <c r="G52" s="32">
        <v>137718996489</v>
      </c>
      <c r="H52" s="44">
        <f t="shared" si="1"/>
        <v>0.49165587948070921</v>
      </c>
      <c r="I52" s="26">
        <v>0.77778000000000003</v>
      </c>
      <c r="J52" s="2">
        <v>2</v>
      </c>
      <c r="K52" s="32">
        <v>12948425080</v>
      </c>
      <c r="L52" s="32">
        <v>137718996489</v>
      </c>
      <c r="M52" s="32">
        <v>25210354340</v>
      </c>
      <c r="N52" s="32">
        <v>137718996489</v>
      </c>
      <c r="O52" s="26">
        <f t="shared" si="5"/>
        <v>0.27707709461161989</v>
      </c>
      <c r="P52" s="32">
        <v>25210354340</v>
      </c>
      <c r="Q52" s="32">
        <v>112508642149</v>
      </c>
      <c r="R52" s="8">
        <f t="shared" si="3"/>
        <v>0.22407482535086373</v>
      </c>
      <c r="S52" s="32">
        <v>137718996489</v>
      </c>
      <c r="T52" s="8">
        <f t="shared" si="4"/>
        <v>25.648481188786935</v>
      </c>
    </row>
    <row r="53" spans="1:20" x14ac:dyDescent="0.35">
      <c r="A53" s="2">
        <v>17</v>
      </c>
      <c r="B53" s="1" t="s">
        <v>125</v>
      </c>
      <c r="C53" s="1">
        <v>2023</v>
      </c>
      <c r="D53" s="32">
        <v>204003935280</v>
      </c>
      <c r="E53" s="32">
        <v>37177780014</v>
      </c>
      <c r="F53" s="32">
        <f t="shared" si="0"/>
        <v>241181715294</v>
      </c>
      <c r="G53" s="32">
        <v>148369110899</v>
      </c>
      <c r="H53" s="44">
        <f t="shared" si="1"/>
        <v>1.6255520696500012</v>
      </c>
      <c r="I53" s="26">
        <v>0.77778000000000003</v>
      </c>
      <c r="J53" s="2">
        <v>3</v>
      </c>
      <c r="K53" s="32">
        <v>5611028352</v>
      </c>
      <c r="L53" s="32">
        <v>148369110899</v>
      </c>
      <c r="M53" s="32">
        <v>37177780014</v>
      </c>
      <c r="N53" s="32">
        <v>148369110899</v>
      </c>
      <c r="O53" s="26">
        <f t="shared" si="5"/>
        <v>0.28839431675996108</v>
      </c>
      <c r="P53" s="32">
        <v>37177780014</v>
      </c>
      <c r="Q53" s="32">
        <v>111191330885</v>
      </c>
      <c r="R53" s="8">
        <f t="shared" si="3"/>
        <v>0.33435862056954102</v>
      </c>
      <c r="S53" s="32">
        <v>148369110899</v>
      </c>
      <c r="T53" s="8">
        <f t="shared" si="4"/>
        <v>25.722968998433114</v>
      </c>
    </row>
    <row r="54" spans="1:20" x14ac:dyDescent="0.35">
      <c r="A54" s="3">
        <v>17</v>
      </c>
      <c r="B54" s="4" t="s">
        <v>125</v>
      </c>
      <c r="C54" s="4">
        <v>2024</v>
      </c>
      <c r="D54" s="33">
        <v>107100919422</v>
      </c>
      <c r="E54" s="33">
        <v>54957129793</v>
      </c>
      <c r="F54" s="33">
        <f t="shared" si="0"/>
        <v>162058049215</v>
      </c>
      <c r="G54" s="33">
        <v>170328129268</v>
      </c>
      <c r="H54" s="45">
        <f t="shared" si="1"/>
        <v>0.95144618749386034</v>
      </c>
      <c r="I54" s="27">
        <v>0.83333000000000002</v>
      </c>
      <c r="J54" s="3">
        <v>3</v>
      </c>
      <c r="K54" s="33">
        <v>7779670079</v>
      </c>
      <c r="L54" s="33">
        <v>170328129268</v>
      </c>
      <c r="M54" s="33">
        <v>54957129793</v>
      </c>
      <c r="N54" s="33">
        <v>170328129268</v>
      </c>
      <c r="O54" s="27">
        <f t="shared" si="5"/>
        <v>0.36832906074655358</v>
      </c>
      <c r="P54" s="33">
        <v>54957129793</v>
      </c>
      <c r="Q54" s="33">
        <v>115370999475</v>
      </c>
      <c r="R54" s="9">
        <f t="shared" si="3"/>
        <v>0.476351336497772</v>
      </c>
      <c r="S54" s="33">
        <v>170328129268</v>
      </c>
      <c r="T54" s="9">
        <f t="shared" si="4"/>
        <v>25.860992585772614</v>
      </c>
    </row>
    <row r="55" spans="1:20" x14ac:dyDescent="0.35">
      <c r="A55" s="2">
        <v>18</v>
      </c>
      <c r="B55" s="1" t="s">
        <v>126</v>
      </c>
      <c r="C55" s="1">
        <v>2022</v>
      </c>
      <c r="D55" s="32">
        <v>222437470886440</v>
      </c>
      <c r="E55" s="32">
        <f>14925*2120765000</f>
        <v>31652417625000</v>
      </c>
      <c r="F55" s="32">
        <f t="shared" si="0"/>
        <v>254089888511440</v>
      </c>
      <c r="G55" s="32">
        <f>14925*4929871000</f>
        <v>73578324675000</v>
      </c>
      <c r="H55" s="44">
        <f t="shared" si="1"/>
        <v>3.4533252779778651</v>
      </c>
      <c r="I55" s="26">
        <v>0.83333000000000002</v>
      </c>
      <c r="J55" s="2">
        <v>4</v>
      </c>
      <c r="K55" s="32">
        <f>14925*1403973000</f>
        <v>20954297025000</v>
      </c>
      <c r="L55" s="32">
        <v>73578324675000</v>
      </c>
      <c r="M55" s="32">
        <v>31652417625000</v>
      </c>
      <c r="N55" s="32">
        <v>73578324675000</v>
      </c>
      <c r="O55" s="26">
        <f t="shared" si="5"/>
        <v>0.71497570626087381</v>
      </c>
      <c r="P55" s="32">
        <v>31652417625000</v>
      </c>
      <c r="Q55" s="32">
        <f>14925*2809106000</f>
        <v>41925907050000</v>
      </c>
      <c r="R55" s="8">
        <f t="shared" si="3"/>
        <v>0.7549608309547593</v>
      </c>
      <c r="S55" s="32">
        <v>73578324675000</v>
      </c>
      <c r="T55" s="8">
        <f t="shared" si="4"/>
        <v>31.929371596590869</v>
      </c>
    </row>
    <row r="56" spans="1:20" ht="15" customHeight="1" x14ac:dyDescent="0.35">
      <c r="A56" s="2">
        <v>18</v>
      </c>
      <c r="B56" s="1" t="s">
        <v>126</v>
      </c>
      <c r="C56" s="1">
        <v>2023</v>
      </c>
      <c r="D56" s="32">
        <v>454395611733000</v>
      </c>
      <c r="E56" s="32">
        <f>15385*2620552000</f>
        <v>40317192520000</v>
      </c>
      <c r="F56" s="32">
        <f t="shared" si="0"/>
        <v>494712804253000</v>
      </c>
      <c r="G56" s="32">
        <f>15385*5614452000</f>
        <v>86378344020000</v>
      </c>
      <c r="H56" s="44">
        <f t="shared" si="1"/>
        <v>5.7272781721591519</v>
      </c>
      <c r="I56" s="26">
        <v>0.83333000000000002</v>
      </c>
      <c r="J56" s="2">
        <v>5</v>
      </c>
      <c r="K56" s="32">
        <f>15385*1439797000</f>
        <v>22151276845000</v>
      </c>
      <c r="L56" s="32">
        <v>86378344020000</v>
      </c>
      <c r="M56" s="32">
        <v>40317192520000</v>
      </c>
      <c r="N56" s="32">
        <v>86378344020000</v>
      </c>
      <c r="O56" s="26">
        <f t="shared" si="5"/>
        <v>0.72319595928507363</v>
      </c>
      <c r="P56" s="32">
        <v>40317192520000</v>
      </c>
      <c r="Q56" s="32">
        <f>15385*2993900000</f>
        <v>46061151500000</v>
      </c>
      <c r="R56" s="8">
        <f t="shared" si="3"/>
        <v>0.87529710411169381</v>
      </c>
      <c r="S56" s="32">
        <v>86378344020000</v>
      </c>
      <c r="T56" s="8">
        <f t="shared" si="4"/>
        <v>32.089758112404454</v>
      </c>
    </row>
    <row r="57" spans="1:20" ht="16" customHeight="1" x14ac:dyDescent="0.35">
      <c r="A57" s="3">
        <v>18</v>
      </c>
      <c r="B57" s="4" t="s">
        <v>126</v>
      </c>
      <c r="C57" s="4">
        <v>2024</v>
      </c>
      <c r="D57" s="33">
        <v>649136588190000</v>
      </c>
      <c r="E57" s="33">
        <f>16393*2726123000</f>
        <v>44689334339000</v>
      </c>
      <c r="F57" s="33">
        <f t="shared" si="0"/>
        <v>693825922529000</v>
      </c>
      <c r="G57" s="33">
        <f>16393*5658866000</f>
        <v>92765790338000</v>
      </c>
      <c r="H57" s="45">
        <f t="shared" si="1"/>
        <v>7.4793296106354141</v>
      </c>
      <c r="I57" s="27">
        <v>0.83333000000000002</v>
      </c>
      <c r="J57" s="3">
        <v>4</v>
      </c>
      <c r="K57" s="33">
        <f>16393*1366818000</f>
        <v>22406247474000</v>
      </c>
      <c r="L57" s="33">
        <v>92765790338000</v>
      </c>
      <c r="M57" s="33">
        <v>44689334339000</v>
      </c>
      <c r="N57" s="33">
        <v>92765790338000</v>
      </c>
      <c r="O57" s="27">
        <f t="shared" si="5"/>
        <v>0.72327936374531576</v>
      </c>
      <c r="P57" s="33">
        <v>44689334339000</v>
      </c>
      <c r="Q57" s="33">
        <f>16393*2932743000</f>
        <v>48076455999000</v>
      </c>
      <c r="R57" s="9">
        <f t="shared" si="3"/>
        <v>0.92954718500734634</v>
      </c>
      <c r="S57" s="33">
        <v>92765790338000</v>
      </c>
      <c r="T57" s="9">
        <f t="shared" si="4"/>
        <v>32.161099049157656</v>
      </c>
    </row>
    <row r="58" spans="1:20" x14ac:dyDescent="0.35">
      <c r="A58" s="2">
        <v>19</v>
      </c>
      <c r="B58" s="1" t="s">
        <v>127</v>
      </c>
      <c r="C58" s="1">
        <v>2022</v>
      </c>
      <c r="D58" s="32">
        <v>3823730345925</v>
      </c>
      <c r="E58" s="32">
        <f>15731*42624419</f>
        <v>670524735289</v>
      </c>
      <c r="F58" s="32">
        <f t="shared" si="0"/>
        <v>4494255081214</v>
      </c>
      <c r="G58" s="32">
        <f>15731*317577675</f>
        <v>4995814405425</v>
      </c>
      <c r="H58" s="44">
        <f t="shared" si="1"/>
        <v>0.89960409184409407</v>
      </c>
      <c r="I58" s="26">
        <v>0.44444</v>
      </c>
      <c r="J58" s="2">
        <v>3</v>
      </c>
      <c r="K58" s="32">
        <f>15731*84173030</f>
        <v>1324125934930</v>
      </c>
      <c r="L58" s="32">
        <v>4995814405425</v>
      </c>
      <c r="M58" s="32">
        <v>670524735289</v>
      </c>
      <c r="N58" s="32">
        <v>4995814405425</v>
      </c>
      <c r="O58" s="26">
        <f t="shared" si="5"/>
        <v>0.39926436579649371</v>
      </c>
      <c r="P58" s="32">
        <v>670524735289</v>
      </c>
      <c r="Q58" s="32">
        <f>15731*274953256</f>
        <v>4325289670136</v>
      </c>
      <c r="R58" s="8">
        <f t="shared" si="3"/>
        <v>0.15502423801084211</v>
      </c>
      <c r="S58" s="32">
        <v>4995814405425</v>
      </c>
      <c r="T58" s="8">
        <f t="shared" si="4"/>
        <v>29.239621558867945</v>
      </c>
    </row>
    <row r="59" spans="1:20" x14ac:dyDescent="0.35">
      <c r="A59" s="40">
        <v>19</v>
      </c>
      <c r="B59" s="1" t="s">
        <v>127</v>
      </c>
      <c r="C59" s="1">
        <v>2023</v>
      </c>
      <c r="D59" s="32">
        <v>3143317176600</v>
      </c>
      <c r="E59" s="32">
        <f>15416*44840780</f>
        <v>691265464480</v>
      </c>
      <c r="F59" s="32">
        <f t="shared" si="0"/>
        <v>3834582641080</v>
      </c>
      <c r="G59" s="32">
        <f>15416*335210659</f>
        <v>5167607519144</v>
      </c>
      <c r="H59" s="44">
        <f t="shared" si="1"/>
        <v>0.74204215913734639</v>
      </c>
      <c r="I59" s="26">
        <v>0.44444</v>
      </c>
      <c r="J59" s="2">
        <v>3</v>
      </c>
      <c r="K59" s="32">
        <f>15416*87763425</f>
        <v>1352960959800</v>
      </c>
      <c r="L59" s="32">
        <v>5167607519144</v>
      </c>
      <c r="M59" s="32">
        <v>691265464480</v>
      </c>
      <c r="N59" s="32">
        <v>5167607519144</v>
      </c>
      <c r="O59" s="26">
        <f t="shared" si="5"/>
        <v>0.39558469111807093</v>
      </c>
      <c r="P59" s="32">
        <v>691265464480</v>
      </c>
      <c r="Q59" s="32">
        <f>15416*290369879</f>
        <v>4476342054664</v>
      </c>
      <c r="R59" s="8">
        <f t="shared" si="3"/>
        <v>0.15442641693562162</v>
      </c>
      <c r="S59" s="32">
        <v>5167607519144</v>
      </c>
      <c r="T59" s="8">
        <f t="shared" si="4"/>
        <v>29.273430935086843</v>
      </c>
    </row>
    <row r="60" spans="1:20" x14ac:dyDescent="0.35">
      <c r="A60" s="3">
        <v>19</v>
      </c>
      <c r="B60" s="4" t="s">
        <v>127</v>
      </c>
      <c r="C60" s="4">
        <v>2024</v>
      </c>
      <c r="D60" s="33">
        <v>3057067619925</v>
      </c>
      <c r="E60" s="33">
        <f>16162*41076836</f>
        <v>663883823432</v>
      </c>
      <c r="F60" s="33">
        <f t="shared" si="0"/>
        <v>3720951443357</v>
      </c>
      <c r="G60" s="33">
        <f>16162*341447342</f>
        <v>5518471941404</v>
      </c>
      <c r="H60" s="45">
        <f t="shared" si="1"/>
        <v>0.67427205988662176</v>
      </c>
      <c r="I60" s="27">
        <v>0.44444</v>
      </c>
      <c r="J60" s="3">
        <v>3</v>
      </c>
      <c r="K60" s="33">
        <f>16162*116067700</f>
        <v>1875886167400</v>
      </c>
      <c r="L60" s="33">
        <v>5518471941404</v>
      </c>
      <c r="M60" s="33">
        <v>663883823432</v>
      </c>
      <c r="N60" s="33">
        <v>5518471941404</v>
      </c>
      <c r="O60" s="27">
        <f t="shared" si="5"/>
        <v>0.46023066127719336</v>
      </c>
      <c r="P60" s="33">
        <v>663883823432</v>
      </c>
      <c r="Q60" s="33">
        <f>16162*300370506</f>
        <v>4854588117972</v>
      </c>
      <c r="R60" s="9">
        <f t="shared" si="3"/>
        <v>0.13675389287388956</v>
      </c>
      <c r="S60" s="33">
        <v>5518471941404</v>
      </c>
      <c r="T60" s="9">
        <f t="shared" si="4"/>
        <v>29.339122115685793</v>
      </c>
    </row>
    <row r="61" spans="1:20" x14ac:dyDescent="0.35">
      <c r="A61" s="2">
        <v>20</v>
      </c>
      <c r="B61" s="1" t="s">
        <v>128</v>
      </c>
      <c r="C61" s="1">
        <v>2022</v>
      </c>
      <c r="D61" s="32">
        <v>1213478252000</v>
      </c>
      <c r="E61" s="32">
        <f>15723*84735000</f>
        <v>1332288405000</v>
      </c>
      <c r="F61" s="32">
        <f t="shared" si="0"/>
        <v>2545766657000</v>
      </c>
      <c r="G61" s="32">
        <f>15723*192224000</f>
        <v>3022337952000</v>
      </c>
      <c r="H61" s="44">
        <f t="shared" si="1"/>
        <v>0.84231700671176302</v>
      </c>
      <c r="I61" s="26">
        <v>0.61111000000000004</v>
      </c>
      <c r="J61" s="2">
        <v>3</v>
      </c>
      <c r="K61" s="32">
        <f>15723*31225000</f>
        <v>490950675000</v>
      </c>
      <c r="L61" s="32">
        <v>3022337952000</v>
      </c>
      <c r="M61" s="32">
        <v>1332288405000</v>
      </c>
      <c r="N61" s="32">
        <v>3022337952000</v>
      </c>
      <c r="O61" s="26">
        <f t="shared" si="5"/>
        <v>0.6032545363742301</v>
      </c>
      <c r="P61" s="32">
        <v>1332288405000</v>
      </c>
      <c r="Q61" s="32">
        <f>15723*107489000</f>
        <v>1690049547000</v>
      </c>
      <c r="R61" s="8">
        <f t="shared" si="3"/>
        <v>0.78831322274837423</v>
      </c>
      <c r="S61" s="32">
        <v>3022337952000</v>
      </c>
      <c r="T61" s="8">
        <f t="shared" si="4"/>
        <v>28.7370518041023</v>
      </c>
    </row>
    <row r="62" spans="1:20" x14ac:dyDescent="0.35">
      <c r="A62" s="2">
        <v>20</v>
      </c>
      <c r="B62" s="1" t="s">
        <v>128</v>
      </c>
      <c r="C62" s="1">
        <v>2023</v>
      </c>
      <c r="D62" s="32">
        <v>1096583558000</v>
      </c>
      <c r="E62" s="32">
        <f>15408*75681000</f>
        <v>1166092848000</v>
      </c>
      <c r="F62" s="32">
        <f t="shared" si="0"/>
        <v>2262676406000</v>
      </c>
      <c r="G62" s="32">
        <f>15408*182670000</f>
        <v>2814579360000</v>
      </c>
      <c r="H62" s="44">
        <f t="shared" si="1"/>
        <v>0.80391281132680514</v>
      </c>
      <c r="I62" s="26">
        <v>0.66666999999999998</v>
      </c>
      <c r="J62" s="2">
        <v>3</v>
      </c>
      <c r="K62" s="32">
        <f>15408*25757000</f>
        <v>396863856000</v>
      </c>
      <c r="L62" s="32">
        <v>2814579360000</v>
      </c>
      <c r="M62" s="32">
        <v>1166092848000</v>
      </c>
      <c r="N62" s="32">
        <v>2814579360000</v>
      </c>
      <c r="O62" s="26">
        <f t="shared" si="5"/>
        <v>0.55530738490173537</v>
      </c>
      <c r="P62" s="32">
        <v>1166092848000</v>
      </c>
      <c r="Q62" s="32">
        <f>15408*106989000</f>
        <v>1648486512000</v>
      </c>
      <c r="R62" s="8">
        <f t="shared" si="3"/>
        <v>0.7073717858845302</v>
      </c>
      <c r="S62" s="32">
        <v>2814579360000</v>
      </c>
      <c r="T62" s="8">
        <f t="shared" si="4"/>
        <v>28.665833938290774</v>
      </c>
    </row>
    <row r="63" spans="1:20" x14ac:dyDescent="0.35">
      <c r="A63" s="3">
        <v>20</v>
      </c>
      <c r="B63" s="4" t="s">
        <v>128</v>
      </c>
      <c r="C63" s="4">
        <v>2024</v>
      </c>
      <c r="D63" s="33">
        <v>1046485832000</v>
      </c>
      <c r="E63" s="33">
        <f>16155*63321000</f>
        <v>1022950755000</v>
      </c>
      <c r="F63" s="33">
        <f t="shared" si="0"/>
        <v>2069436587000</v>
      </c>
      <c r="G63" s="33">
        <f>16155*161914000</f>
        <v>2615720670000</v>
      </c>
      <c r="H63" s="45">
        <f t="shared" si="1"/>
        <v>0.79115350913979665</v>
      </c>
      <c r="I63" s="27">
        <v>0.66666999999999998</v>
      </c>
      <c r="J63" s="3">
        <v>3</v>
      </c>
      <c r="K63" s="33">
        <f>16155*14487000</f>
        <v>234037485000</v>
      </c>
      <c r="L63" s="33">
        <v>2615720670000</v>
      </c>
      <c r="M63" s="33">
        <v>1022950755000</v>
      </c>
      <c r="N63" s="33">
        <v>2615720670000</v>
      </c>
      <c r="O63" s="27">
        <f t="shared" si="5"/>
        <v>0.48055140383166373</v>
      </c>
      <c r="P63" s="33">
        <v>1022950755000</v>
      </c>
      <c r="Q63" s="33">
        <f>16155*98593000</f>
        <v>1592769915000</v>
      </c>
      <c r="R63" s="9">
        <f t="shared" si="3"/>
        <v>0.64224640694572632</v>
      </c>
      <c r="S63" s="33">
        <v>2615720670000</v>
      </c>
      <c r="T63" s="9">
        <f t="shared" si="4"/>
        <v>28.592560766299439</v>
      </c>
    </row>
    <row r="64" spans="1:20" x14ac:dyDescent="0.35">
      <c r="A64" s="2">
        <v>21</v>
      </c>
      <c r="B64" s="1" t="s">
        <v>129</v>
      </c>
      <c r="C64" s="1">
        <v>2022</v>
      </c>
      <c r="D64" s="32">
        <v>1108261275548</v>
      </c>
      <c r="E64" s="32">
        <f>15731*102615800</f>
        <v>1614249149800</v>
      </c>
      <c r="F64" s="32">
        <f t="shared" si="0"/>
        <v>2722510425348</v>
      </c>
      <c r="G64" s="32">
        <f>15731*280534499</f>
        <v>4413088203769</v>
      </c>
      <c r="H64" s="44">
        <f t="shared" si="1"/>
        <v>0.61691729229949188</v>
      </c>
      <c r="I64" s="26">
        <v>0.66666999999999998</v>
      </c>
      <c r="J64" s="2">
        <v>3</v>
      </c>
      <c r="K64" s="32">
        <f>15731*12863521</f>
        <v>202356048851</v>
      </c>
      <c r="L64" s="32">
        <v>4413088203769</v>
      </c>
      <c r="M64" s="32">
        <v>1614249149800</v>
      </c>
      <c r="N64" s="32">
        <v>4413088203769</v>
      </c>
      <c r="O64" s="26">
        <f t="shared" si="5"/>
        <v>0.41164035586225711</v>
      </c>
      <c r="P64" s="32">
        <v>1614249149800</v>
      </c>
      <c r="Q64" s="32">
        <f>15731*177918699</f>
        <v>2798839053969</v>
      </c>
      <c r="R64" s="8">
        <f t="shared" si="3"/>
        <v>0.57675669042521494</v>
      </c>
      <c r="S64" s="32">
        <v>4413088203769</v>
      </c>
      <c r="T64" s="8">
        <f t="shared" si="4"/>
        <v>29.115595833274089</v>
      </c>
    </row>
    <row r="65" spans="1:20" x14ac:dyDescent="0.35">
      <c r="A65" s="2">
        <v>21</v>
      </c>
      <c r="B65" s="1" t="s">
        <v>129</v>
      </c>
      <c r="C65" s="1">
        <v>2023</v>
      </c>
      <c r="D65" s="32">
        <v>1000000000000</v>
      </c>
      <c r="E65" s="32">
        <f>15416*107102928</f>
        <v>1651098738048</v>
      </c>
      <c r="F65" s="32">
        <f t="shared" si="0"/>
        <v>2651098738048</v>
      </c>
      <c r="G65" s="32">
        <f>15416*284075431</f>
        <v>4379306844296</v>
      </c>
      <c r="H65" s="44">
        <f t="shared" si="1"/>
        <v>0.60536948706871896</v>
      </c>
      <c r="I65" s="26">
        <v>0.55556000000000005</v>
      </c>
      <c r="J65" s="2">
        <v>3</v>
      </c>
      <c r="K65" s="32">
        <f>15416*14269681</f>
        <v>219981402296</v>
      </c>
      <c r="L65" s="32">
        <v>5379306844296</v>
      </c>
      <c r="M65" s="32">
        <v>1651098738048</v>
      </c>
      <c r="N65" s="32">
        <v>5379306844296</v>
      </c>
      <c r="O65" s="26">
        <f t="shared" si="5"/>
        <v>0.34782922679490164</v>
      </c>
      <c r="P65" s="32">
        <v>1651098738048</v>
      </c>
      <c r="Q65" s="32">
        <f>15416*176972503</f>
        <v>2728208106248</v>
      </c>
      <c r="R65" s="8">
        <f t="shared" si="3"/>
        <v>0.60519530539724575</v>
      </c>
      <c r="S65" s="32">
        <v>5379306844296</v>
      </c>
      <c r="T65" s="8">
        <f t="shared" si="4"/>
        <v>29.313580642451555</v>
      </c>
    </row>
    <row r="66" spans="1:20" x14ac:dyDescent="0.35">
      <c r="A66" s="3">
        <v>21</v>
      </c>
      <c r="B66" s="4" t="s">
        <v>129</v>
      </c>
      <c r="C66" s="4">
        <v>2024</v>
      </c>
      <c r="D66" s="33">
        <v>837639336170</v>
      </c>
      <c r="E66" s="33">
        <f>16162*194776470</f>
        <v>3147977308140</v>
      </c>
      <c r="F66" s="33">
        <f t="shared" si="0"/>
        <v>3985616644310</v>
      </c>
      <c r="G66" s="33">
        <f>16162*371808583</f>
        <v>6009170318446</v>
      </c>
      <c r="H66" s="45">
        <f t="shared" si="1"/>
        <v>0.6632557296762891</v>
      </c>
      <c r="I66" s="27">
        <v>0.66666999999999998</v>
      </c>
      <c r="J66" s="3">
        <v>3</v>
      </c>
      <c r="K66" s="33">
        <f>16162*11683636</f>
        <v>188830925032</v>
      </c>
      <c r="L66" s="33">
        <v>6009170318446</v>
      </c>
      <c r="M66" s="33">
        <v>3147977308140</v>
      </c>
      <c r="N66" s="33">
        <v>6009170318446</v>
      </c>
      <c r="O66" s="27">
        <f t="shared" si="5"/>
        <v>0.55528601393260468</v>
      </c>
      <c r="P66" s="33">
        <v>3147977308140</v>
      </c>
      <c r="Q66" s="33">
        <f>16162*177032113</f>
        <v>2861193010306</v>
      </c>
      <c r="R66" s="9">
        <f t="shared" si="3"/>
        <v>1.100232419414211</v>
      </c>
      <c r="S66" s="33">
        <v>6009170318446</v>
      </c>
      <c r="T66" s="9">
        <f t="shared" ref="T66:T90" si="6">LN(S66)</f>
        <v>29.424307804770489</v>
      </c>
    </row>
    <row r="67" spans="1:20" x14ac:dyDescent="0.35">
      <c r="A67" s="2">
        <v>22</v>
      </c>
      <c r="B67" s="1" t="s">
        <v>130</v>
      </c>
      <c r="C67" s="1">
        <v>2022</v>
      </c>
      <c r="D67" s="32">
        <v>92648700000000</v>
      </c>
      <c r="E67" s="32">
        <v>13520331000000</v>
      </c>
      <c r="F67" s="32">
        <f t="shared" si="0"/>
        <v>106169031000000</v>
      </c>
      <c r="G67" s="32">
        <v>39847545000000</v>
      </c>
      <c r="H67" s="44">
        <f t="shared" si="1"/>
        <v>2.6643807291013788</v>
      </c>
      <c r="I67" s="26">
        <v>0.72221999999999997</v>
      </c>
      <c r="J67" s="2">
        <v>3</v>
      </c>
      <c r="K67" s="32">
        <v>2040000000000</v>
      </c>
      <c r="L67" s="32">
        <v>39847545000000</v>
      </c>
      <c r="M67" s="32">
        <v>13520331000000</v>
      </c>
      <c r="N67" s="32">
        <v>39857545000000</v>
      </c>
      <c r="O67" s="26">
        <f t="shared" si="5"/>
        <v>0.39041147544933213</v>
      </c>
      <c r="P67" s="32">
        <v>13520331000000</v>
      </c>
      <c r="Q67" s="32">
        <v>26327214000000</v>
      </c>
      <c r="R67" s="8">
        <f t="shared" si="3"/>
        <v>0.51354962967217122</v>
      </c>
      <c r="S67" s="32">
        <v>39875545000000</v>
      </c>
      <c r="T67" s="8">
        <f t="shared" si="6"/>
        <v>31.316784344651754</v>
      </c>
    </row>
    <row r="68" spans="1:20" x14ac:dyDescent="0.35">
      <c r="A68" s="2">
        <v>22</v>
      </c>
      <c r="B68" s="1" t="s">
        <v>130</v>
      </c>
      <c r="C68" s="1">
        <v>2023</v>
      </c>
      <c r="D68" s="32">
        <v>82399950000000</v>
      </c>
      <c r="E68" s="32">
        <v>13942042000000</v>
      </c>
      <c r="F68" s="32">
        <f t="shared" si="0"/>
        <v>96341992000000</v>
      </c>
      <c r="G68" s="32">
        <v>40970800000000</v>
      </c>
      <c r="H68" s="44">
        <f t="shared" si="1"/>
        <v>2.351479395081375</v>
      </c>
      <c r="I68" s="26">
        <v>0.83333000000000002</v>
      </c>
      <c r="J68" s="2">
        <v>3</v>
      </c>
      <c r="K68" s="32">
        <v>2328025000000</v>
      </c>
      <c r="L68" s="32">
        <v>40970800000000</v>
      </c>
      <c r="M68" s="32">
        <v>13942042000000</v>
      </c>
      <c r="N68" s="32">
        <v>40970800000000</v>
      </c>
      <c r="O68" s="26">
        <f t="shared" si="5"/>
        <v>0.39711372489675578</v>
      </c>
      <c r="P68" s="32">
        <v>13942000000000</v>
      </c>
      <c r="Q68" s="32">
        <v>27028758000000</v>
      </c>
      <c r="R68" s="8">
        <f t="shared" si="3"/>
        <v>0.51582096373055686</v>
      </c>
      <c r="S68" s="32">
        <v>40970800000000</v>
      </c>
      <c r="T68" s="8">
        <f t="shared" si="6"/>
        <v>31.343880733779482</v>
      </c>
    </row>
    <row r="69" spans="1:20" x14ac:dyDescent="0.35">
      <c r="A69" s="3">
        <v>22</v>
      </c>
      <c r="B69" s="4" t="s">
        <v>130</v>
      </c>
      <c r="C69" s="4">
        <v>2024</v>
      </c>
      <c r="D69" s="33">
        <v>78054480000000</v>
      </c>
      <c r="E69" s="33">
        <v>12502078000000</v>
      </c>
      <c r="F69" s="33">
        <f t="shared" si="0"/>
        <v>90556558000000</v>
      </c>
      <c r="G69" s="33">
        <v>42791000000000</v>
      </c>
      <c r="H69" s="45">
        <f t="shared" si="1"/>
        <v>2.1162524362599613</v>
      </c>
      <c r="I69" s="27">
        <v>0.77778000000000003</v>
      </c>
      <c r="J69" s="3">
        <v>4</v>
      </c>
      <c r="K69" s="33">
        <v>4446488000000</v>
      </c>
      <c r="L69" s="33">
        <v>42791000000000</v>
      </c>
      <c r="M69" s="33">
        <v>12502078000000</v>
      </c>
      <c r="N69" s="33">
        <v>42791000000000</v>
      </c>
      <c r="O69" s="27">
        <f t="shared" si="5"/>
        <v>0.39607782010235798</v>
      </c>
      <c r="P69" s="33">
        <v>12502078000000</v>
      </c>
      <c r="Q69" s="33">
        <v>30288922000000</v>
      </c>
      <c r="R69" s="9">
        <f t="shared" si="3"/>
        <v>0.41276074467093943</v>
      </c>
      <c r="S69" s="33">
        <v>42791000000000</v>
      </c>
      <c r="T69" s="9">
        <f t="shared" si="6"/>
        <v>31.387348916030451</v>
      </c>
    </row>
    <row r="70" spans="1:20" x14ac:dyDescent="0.35">
      <c r="A70" s="2">
        <v>23</v>
      </c>
      <c r="B70" s="1" t="s">
        <v>131</v>
      </c>
      <c r="C70" s="1">
        <v>2022</v>
      </c>
      <c r="D70" s="32">
        <v>15185914885295</v>
      </c>
      <c r="E70" s="32">
        <v>19036110000000</v>
      </c>
      <c r="F70" s="32">
        <f t="shared" si="0"/>
        <v>34222024885295</v>
      </c>
      <c r="G70" s="32">
        <v>32690887000000</v>
      </c>
      <c r="H70" s="44">
        <f t="shared" si="1"/>
        <v>1.0468368412669562</v>
      </c>
      <c r="I70" s="26">
        <v>0.77778000000000003</v>
      </c>
      <c r="J70" s="2">
        <v>3</v>
      </c>
      <c r="K70" s="32">
        <v>1811082000000</v>
      </c>
      <c r="L70" s="32">
        <v>32690887000000</v>
      </c>
      <c r="M70" s="32">
        <v>19036110000000</v>
      </c>
      <c r="N70" s="32">
        <v>32690887000000</v>
      </c>
      <c r="O70" s="26">
        <f t="shared" si="5"/>
        <v>0.63770652659256388</v>
      </c>
      <c r="P70" s="32">
        <v>19036110000000</v>
      </c>
      <c r="Q70" s="32">
        <v>9623670000000</v>
      </c>
      <c r="R70" s="8">
        <f t="shared" si="3"/>
        <v>1.9780509930203343</v>
      </c>
      <c r="S70" s="32">
        <v>32690887000000</v>
      </c>
      <c r="T70" s="8">
        <f t="shared" si="6"/>
        <v>31.118117469976582</v>
      </c>
    </row>
    <row r="71" spans="1:20" x14ac:dyDescent="0.35">
      <c r="A71" s="2">
        <v>23</v>
      </c>
      <c r="B71" s="1" t="s">
        <v>131</v>
      </c>
      <c r="C71" s="1">
        <v>2023</v>
      </c>
      <c r="D71" s="32">
        <v>13837358737180</v>
      </c>
      <c r="E71" s="32">
        <v>19942219000000</v>
      </c>
      <c r="F71" s="32">
        <f t="shared" si="0"/>
        <v>33779577737180</v>
      </c>
      <c r="G71" s="32">
        <v>34109431000000</v>
      </c>
      <c r="H71" s="44">
        <f t="shared" si="1"/>
        <v>0.99032955833182912</v>
      </c>
      <c r="I71" s="26">
        <v>0.83333000000000002</v>
      </c>
      <c r="J71" s="2">
        <v>3</v>
      </c>
      <c r="K71" s="32">
        <v>1502603000000</v>
      </c>
      <c r="L71" s="32">
        <v>34109431000000</v>
      </c>
      <c r="M71" s="32">
        <v>19942219000000</v>
      </c>
      <c r="N71" s="32">
        <v>34109431000000</v>
      </c>
      <c r="O71" s="26">
        <f t="shared" si="5"/>
        <v>0.62870652987439168</v>
      </c>
      <c r="P71" s="32">
        <v>19942219000000</v>
      </c>
      <c r="Q71" s="32">
        <v>14167212000000</v>
      </c>
      <c r="R71" s="8">
        <f t="shared" si="3"/>
        <v>1.4076318615123427</v>
      </c>
      <c r="S71" s="32">
        <v>34109431000000</v>
      </c>
      <c r="T71" s="8">
        <f t="shared" si="6"/>
        <v>31.160595030894843</v>
      </c>
    </row>
    <row r="72" spans="1:20" x14ac:dyDescent="0.35">
      <c r="A72" s="3">
        <v>23</v>
      </c>
      <c r="B72" s="4" t="s">
        <v>131</v>
      </c>
      <c r="C72" s="4">
        <v>2024</v>
      </c>
      <c r="D72" s="33">
        <v>22749555889940</v>
      </c>
      <c r="E72" s="33">
        <v>18093761000000</v>
      </c>
      <c r="F72" s="33">
        <f t="shared" ref="F72:F90" si="7">D72+E72</f>
        <v>40843316889940</v>
      </c>
      <c r="G72" s="33">
        <v>34666283000000</v>
      </c>
      <c r="H72" s="45">
        <f t="shared" ref="H72:H84" si="8">F72/G72</f>
        <v>1.178185641937441</v>
      </c>
      <c r="I72" s="27">
        <v>0.83333000000000002</v>
      </c>
      <c r="J72" s="3">
        <v>3</v>
      </c>
      <c r="K72" s="33">
        <v>1353714000000</v>
      </c>
      <c r="L72" s="33">
        <v>34666283000000</v>
      </c>
      <c r="M72" s="33">
        <v>18093761000000</v>
      </c>
      <c r="N72" s="33">
        <v>34666283000000</v>
      </c>
      <c r="O72" s="27">
        <f t="shared" si="5"/>
        <v>0.56099106442995339</v>
      </c>
      <c r="P72" s="33">
        <v>18093761000000</v>
      </c>
      <c r="Q72" s="33">
        <v>16572522000000</v>
      </c>
      <c r="R72" s="9">
        <f t="shared" ref="R72:R144" si="9">P72/Q72</f>
        <v>1.0917928484270529</v>
      </c>
      <c r="S72" s="33">
        <v>34666283000000</v>
      </c>
      <c r="T72" s="9">
        <f t="shared" si="6"/>
        <v>31.176788659032876</v>
      </c>
    </row>
    <row r="73" spans="1:20" x14ac:dyDescent="0.35">
      <c r="A73" s="2">
        <v>24</v>
      </c>
      <c r="B73" s="1" t="s">
        <v>132</v>
      </c>
      <c r="C73" s="1">
        <v>2022</v>
      </c>
      <c r="D73" s="32">
        <v>1555931250000</v>
      </c>
      <c r="E73" s="32">
        <v>3352507765000</v>
      </c>
      <c r="F73" s="32">
        <f t="shared" si="7"/>
        <v>4908439015000</v>
      </c>
      <c r="G73" s="32">
        <v>5746998087000</v>
      </c>
      <c r="H73" s="44">
        <f t="shared" si="8"/>
        <v>0.8540874628274433</v>
      </c>
      <c r="I73" s="26">
        <v>0.77778000000000003</v>
      </c>
      <c r="J73" s="2">
        <v>3</v>
      </c>
      <c r="K73" s="32">
        <v>477398404000</v>
      </c>
      <c r="L73" s="32">
        <v>5746998087000</v>
      </c>
      <c r="M73" s="32">
        <v>3352507765000</v>
      </c>
      <c r="N73" s="32">
        <v>5746998087000</v>
      </c>
      <c r="O73" s="26">
        <f t="shared" si="5"/>
        <v>0.6664185564396552</v>
      </c>
      <c r="P73" s="32">
        <v>3352507765000</v>
      </c>
      <c r="Q73" s="32">
        <v>2075138470000</v>
      </c>
      <c r="R73" s="8">
        <f t="shared" si="9"/>
        <v>1.615558582459319</v>
      </c>
      <c r="S73" s="32">
        <v>5746998087000</v>
      </c>
      <c r="T73" s="8">
        <f t="shared" si="6"/>
        <v>29.379698762584773</v>
      </c>
    </row>
    <row r="74" spans="1:20" x14ac:dyDescent="0.35">
      <c r="A74" s="2">
        <v>24</v>
      </c>
      <c r="B74" s="1" t="s">
        <v>132</v>
      </c>
      <c r="C74" s="1">
        <v>2023</v>
      </c>
      <c r="D74" s="32">
        <v>1152956250000</v>
      </c>
      <c r="E74" s="32">
        <v>3021300745000</v>
      </c>
      <c r="F74" s="32">
        <f t="shared" si="7"/>
        <v>4174256995000</v>
      </c>
      <c r="G74" s="32">
        <v>5517296880000</v>
      </c>
      <c r="H74" s="44">
        <f t="shared" si="8"/>
        <v>0.75657646956275448</v>
      </c>
      <c r="I74" s="26">
        <v>0.77778000000000003</v>
      </c>
      <c r="J74" s="2">
        <v>3</v>
      </c>
      <c r="K74" s="32">
        <v>287546923000</v>
      </c>
      <c r="L74" s="32">
        <v>5517296880000</v>
      </c>
      <c r="M74" s="32">
        <v>3021300745000</v>
      </c>
      <c r="N74" s="32">
        <v>5517296880000</v>
      </c>
      <c r="O74" s="26">
        <f t="shared" si="5"/>
        <v>0.59972260691543577</v>
      </c>
      <c r="P74" s="32">
        <v>3021300745000</v>
      </c>
      <c r="Q74" s="32">
        <v>2140281849000</v>
      </c>
      <c r="R74" s="8">
        <f t="shared" si="9"/>
        <v>1.41163685820708</v>
      </c>
      <c r="S74" s="32">
        <v>5517296880000</v>
      </c>
      <c r="T74" s="8">
        <f>LN(S74)</f>
        <v>29.338909160625306</v>
      </c>
    </row>
    <row r="75" spans="1:20" x14ac:dyDescent="0.35">
      <c r="A75" s="3">
        <v>24</v>
      </c>
      <c r="B75" s="4" t="s">
        <v>132</v>
      </c>
      <c r="C75" s="4">
        <v>2024</v>
      </c>
      <c r="D75" s="33">
        <v>1712643750000</v>
      </c>
      <c r="E75" s="33">
        <v>2159250951000</v>
      </c>
      <c r="F75" s="33">
        <f t="shared" si="7"/>
        <v>3871894701000</v>
      </c>
      <c r="G75" s="33">
        <v>5380045840000</v>
      </c>
      <c r="H75" s="45">
        <f t="shared" si="8"/>
        <v>0.7196768979574345</v>
      </c>
      <c r="I75" s="27">
        <v>0.77778000000000003</v>
      </c>
      <c r="J75" s="3">
        <v>3</v>
      </c>
      <c r="K75" s="33">
        <v>329175691000</v>
      </c>
      <c r="L75" s="33">
        <v>5380045840000</v>
      </c>
      <c r="M75" s="33">
        <v>2159250951000</v>
      </c>
      <c r="N75" s="33">
        <v>5380045840000</v>
      </c>
      <c r="O75" s="27">
        <f t="shared" si="5"/>
        <v>0.4625288921330083</v>
      </c>
      <c r="P75" s="33">
        <v>2159250951000</v>
      </c>
      <c r="Q75" s="33">
        <v>2632302826000</v>
      </c>
      <c r="R75" s="9">
        <f t="shared" si="9"/>
        <v>0.82028972110369192</v>
      </c>
      <c r="S75" s="33">
        <v>5380045840000</v>
      </c>
      <c r="T75" s="9">
        <f t="shared" si="6"/>
        <v>29.313718010512041</v>
      </c>
    </row>
    <row r="76" spans="1:20" x14ac:dyDescent="0.35">
      <c r="A76" s="40">
        <v>25</v>
      </c>
      <c r="B76" s="1" t="s">
        <v>133</v>
      </c>
      <c r="C76" s="1">
        <v>2022</v>
      </c>
      <c r="D76" s="32">
        <v>1487096000000</v>
      </c>
      <c r="E76" s="32">
        <v>604327481288</v>
      </c>
      <c r="F76" s="32">
        <f t="shared" si="7"/>
        <v>2091423481288</v>
      </c>
      <c r="G76" s="32">
        <v>1746807361866</v>
      </c>
      <c r="H76" s="44">
        <f t="shared" si="8"/>
        <v>1.1972834136981592</v>
      </c>
      <c r="I76" s="26">
        <v>0.61111000000000004</v>
      </c>
      <c r="J76" s="2">
        <v>3</v>
      </c>
      <c r="K76" s="32">
        <v>11870768964</v>
      </c>
      <c r="L76" s="32">
        <v>1746807361866</v>
      </c>
      <c r="M76" s="32">
        <v>604327481288</v>
      </c>
      <c r="N76" s="32">
        <v>1746807361866</v>
      </c>
      <c r="O76" s="26">
        <f t="shared" si="5"/>
        <v>0.35275684297194382</v>
      </c>
      <c r="P76" s="32">
        <v>604327481288</v>
      </c>
      <c r="Q76" s="32">
        <v>1142479880578</v>
      </c>
      <c r="R76" s="8">
        <f t="shared" si="9"/>
        <v>0.52896115858273185</v>
      </c>
      <c r="S76" s="32">
        <v>1746807361866</v>
      </c>
      <c r="T76" s="8">
        <f t="shared" si="6"/>
        <v>28.188810873035997</v>
      </c>
    </row>
    <row r="77" spans="1:20" x14ac:dyDescent="0.35">
      <c r="A77" s="2">
        <v>25</v>
      </c>
      <c r="B77" s="1" t="s">
        <v>133</v>
      </c>
      <c r="C77" s="1">
        <v>2023</v>
      </c>
      <c r="D77" s="32">
        <v>1440036000000</v>
      </c>
      <c r="E77" s="32">
        <v>673472985858</v>
      </c>
      <c r="F77" s="32">
        <f t="shared" si="7"/>
        <v>2113508985858</v>
      </c>
      <c r="G77" s="32">
        <v>1894388459807</v>
      </c>
      <c r="H77" s="44">
        <f t="shared" si="8"/>
        <v>1.1156682120378436</v>
      </c>
      <c r="I77" s="26">
        <v>0.66666999999999998</v>
      </c>
      <c r="J77" s="2">
        <v>3</v>
      </c>
      <c r="K77" s="32">
        <v>1471104359</v>
      </c>
      <c r="L77" s="32">
        <v>1894388459807</v>
      </c>
      <c r="M77" s="32">
        <v>673472985858</v>
      </c>
      <c r="N77" s="32">
        <v>1894388459807</v>
      </c>
      <c r="O77" s="26">
        <f t="shared" si="5"/>
        <v>0.35628600180860642</v>
      </c>
      <c r="P77" s="32">
        <v>673472985858</v>
      </c>
      <c r="Q77" s="32">
        <v>1220916373949</v>
      </c>
      <c r="R77" s="8">
        <f t="shared" si="9"/>
        <v>0.55161270683894703</v>
      </c>
      <c r="S77" s="32">
        <v>1894388459807</v>
      </c>
      <c r="T77" s="8">
        <f t="shared" si="6"/>
        <v>28.269917189877152</v>
      </c>
    </row>
    <row r="78" spans="1:20" x14ac:dyDescent="0.35">
      <c r="A78" s="3">
        <v>25</v>
      </c>
      <c r="B78" s="4" t="s">
        <v>133</v>
      </c>
      <c r="C78" s="4">
        <v>2024</v>
      </c>
      <c r="D78" s="33">
        <v>1920048000000</v>
      </c>
      <c r="E78" s="33">
        <v>447462972579</v>
      </c>
      <c r="F78" s="33">
        <f t="shared" si="7"/>
        <v>2367510972579</v>
      </c>
      <c r="G78" s="33">
        <v>1753404635182</v>
      </c>
      <c r="H78" s="45">
        <f t="shared" si="8"/>
        <v>1.3502365198967647</v>
      </c>
      <c r="I78" s="27">
        <v>0.77778000000000003</v>
      </c>
      <c r="J78" s="3">
        <v>3</v>
      </c>
      <c r="K78" s="33">
        <v>7045841232</v>
      </c>
      <c r="L78" s="33">
        <v>1753404635182</v>
      </c>
      <c r="M78" s="33">
        <v>447462972579</v>
      </c>
      <c r="N78" s="33">
        <v>1753404635182</v>
      </c>
      <c r="O78" s="27">
        <f t="shared" si="5"/>
        <v>0.25921501785229561</v>
      </c>
      <c r="P78" s="33">
        <v>447462972579</v>
      </c>
      <c r="Q78" s="33">
        <v>1305941662603</v>
      </c>
      <c r="R78" s="9">
        <f t="shared" si="9"/>
        <v>0.34263626423183235</v>
      </c>
      <c r="S78" s="33">
        <v>1753404635182</v>
      </c>
      <c r="T78" s="9">
        <f t="shared" si="6"/>
        <v>28.192580519636813</v>
      </c>
    </row>
    <row r="79" spans="1:20" x14ac:dyDescent="0.35">
      <c r="A79" s="2">
        <v>26</v>
      </c>
      <c r="B79" s="1" t="s">
        <v>134</v>
      </c>
      <c r="C79" s="1">
        <v>2022</v>
      </c>
      <c r="D79" s="32">
        <v>47734326160225</v>
      </c>
      <c r="E79" s="32">
        <f>15731*4035517000</f>
        <v>63482717927000</v>
      </c>
      <c r="F79" s="32">
        <f t="shared" si="7"/>
        <v>111217044087225</v>
      </c>
      <c r="G79" s="32">
        <f>15731*9640721000</f>
        <v>151658182051000</v>
      </c>
      <c r="H79" s="44">
        <f t="shared" si="8"/>
        <v>0.73334021668428451</v>
      </c>
      <c r="I79" s="26">
        <v>0.72221999999999997</v>
      </c>
      <c r="J79" s="2">
        <v>3</v>
      </c>
      <c r="K79" s="32">
        <f>15731*1262386000</f>
        <v>19858594166000</v>
      </c>
      <c r="L79" s="32">
        <v>151658182051000</v>
      </c>
      <c r="M79" s="32">
        <v>63482717927000</v>
      </c>
      <c r="N79" s="32">
        <v>151658182051000</v>
      </c>
      <c r="O79" s="26">
        <f t="shared" si="5"/>
        <v>0.5495338989687597</v>
      </c>
      <c r="P79" s="32">
        <v>63482717927000</v>
      </c>
      <c r="Q79" s="32">
        <f>15731*5605204000</f>
        <v>88175464124000</v>
      </c>
      <c r="R79" s="8">
        <f t="shared" si="9"/>
        <v>0.71995898811176184</v>
      </c>
      <c r="S79" s="32">
        <v>131658182051000</v>
      </c>
      <c r="T79" s="8">
        <f t="shared" si="6"/>
        <v>32.511230149966217</v>
      </c>
    </row>
    <row r="80" spans="1:20" x14ac:dyDescent="0.35">
      <c r="A80" s="2">
        <v>26</v>
      </c>
      <c r="B80" s="1" t="s">
        <v>134</v>
      </c>
      <c r="C80" s="1">
        <v>2023</v>
      </c>
      <c r="D80" s="32">
        <v>45545932983825</v>
      </c>
      <c r="E80" s="32">
        <f>15416*4125086000</f>
        <v>63592325776000</v>
      </c>
      <c r="F80" s="32">
        <f t="shared" si="7"/>
        <v>109138258759825</v>
      </c>
      <c r="G80" s="32">
        <f>15416*10125138000</f>
        <v>156089127408000</v>
      </c>
      <c r="H80" s="44">
        <f t="shared" si="8"/>
        <v>0.69920474649428632</v>
      </c>
      <c r="I80" s="26">
        <v>0.77778000000000003</v>
      </c>
      <c r="J80" s="2">
        <v>3</v>
      </c>
      <c r="K80" s="32">
        <f>15416*1397299000</f>
        <v>21540761384000</v>
      </c>
      <c r="L80" s="32">
        <v>156089127408000</v>
      </c>
      <c r="M80" s="32">
        <v>63592325776000</v>
      </c>
      <c r="N80" s="32">
        <v>156089127408000</v>
      </c>
      <c r="O80" s="26">
        <f t="shared" si="5"/>
        <v>0.54541330695937185</v>
      </c>
      <c r="P80" s="32">
        <v>63592325776000</v>
      </c>
      <c r="Q80" s="32">
        <f>15416*6000052000</f>
        <v>92496801632000</v>
      </c>
      <c r="R80" s="8">
        <f t="shared" si="9"/>
        <v>0.68750837492741734</v>
      </c>
      <c r="S80" s="32">
        <v>156089127408000</v>
      </c>
      <c r="T80" s="8">
        <f t="shared" si="6"/>
        <v>32.681448289569964</v>
      </c>
    </row>
    <row r="81" spans="1:20" x14ac:dyDescent="0.35">
      <c r="A81" s="3">
        <v>26</v>
      </c>
      <c r="B81" s="4" t="s">
        <v>134</v>
      </c>
      <c r="C81" s="4">
        <v>2024</v>
      </c>
      <c r="D81" s="33">
        <v>37202683998800</v>
      </c>
      <c r="E81" s="33">
        <f>16162*5368843000</f>
        <v>86771240566000</v>
      </c>
      <c r="F81" s="33">
        <f t="shared" si="7"/>
        <v>123973924564800</v>
      </c>
      <c r="G81" s="33">
        <f>16162*11777052000</f>
        <v>190340714424000</v>
      </c>
      <c r="H81" s="45">
        <f t="shared" si="8"/>
        <v>0.6513263593654357</v>
      </c>
      <c r="I81" s="27">
        <v>0.77778000000000003</v>
      </c>
      <c r="J81" s="3">
        <v>3</v>
      </c>
      <c r="K81" s="33">
        <f>16162*1765863000</f>
        <v>28539877806000</v>
      </c>
      <c r="L81" s="33">
        <v>190340714424000</v>
      </c>
      <c r="M81" s="33">
        <v>86771240566000</v>
      </c>
      <c r="N81" s="33">
        <v>190340714424000</v>
      </c>
      <c r="O81" s="27">
        <f t="shared" si="5"/>
        <v>0.60581425640304554</v>
      </c>
      <c r="P81" s="33">
        <v>86771240566000</v>
      </c>
      <c r="Q81" s="33">
        <f>16162*6408209000</f>
        <v>103569473858000</v>
      </c>
      <c r="R81" s="9">
        <f t="shared" si="9"/>
        <v>0.83780710023658711</v>
      </c>
      <c r="S81" s="33">
        <v>190340714424000</v>
      </c>
      <c r="T81" s="9">
        <f t="shared" si="6"/>
        <v>32.879836815975388</v>
      </c>
    </row>
    <row r="82" spans="1:20" x14ac:dyDescent="0.35">
      <c r="A82" s="2">
        <v>27</v>
      </c>
      <c r="B82" s="1" t="s">
        <v>135</v>
      </c>
      <c r="C82" s="1">
        <v>2022</v>
      </c>
      <c r="D82" s="32">
        <v>1267945070832</v>
      </c>
      <c r="E82" s="32">
        <v>1092943225203</v>
      </c>
      <c r="F82" s="32">
        <f t="shared" si="7"/>
        <v>2360888296035</v>
      </c>
      <c r="G82" s="32">
        <v>3239231499990</v>
      </c>
      <c r="H82" s="44">
        <f t="shared" si="8"/>
        <v>0.72884210222155732</v>
      </c>
      <c r="I82" s="26">
        <v>0.61111000000000004</v>
      </c>
      <c r="J82" s="2">
        <v>3</v>
      </c>
      <c r="K82" s="32">
        <v>300142973515</v>
      </c>
      <c r="L82" s="32">
        <v>3239231499990</v>
      </c>
      <c r="M82" s="32">
        <v>1092943225203</v>
      </c>
      <c r="N82" s="32">
        <v>3239231499990</v>
      </c>
      <c r="O82" s="26">
        <f t="shared" si="5"/>
        <v>0.43006688429718609</v>
      </c>
      <c r="P82" s="32">
        <v>1092943225203</v>
      </c>
      <c r="Q82" s="32">
        <v>2146288274787</v>
      </c>
      <c r="R82" s="8">
        <f t="shared" si="9"/>
        <v>0.50922480360261246</v>
      </c>
      <c r="S82" s="32">
        <v>3239231499990</v>
      </c>
      <c r="T82" s="8">
        <f t="shared" si="6"/>
        <v>28.806357226237356</v>
      </c>
    </row>
    <row r="83" spans="1:20" x14ac:dyDescent="0.35">
      <c r="A83" s="2">
        <v>27</v>
      </c>
      <c r="B83" s="1" t="s">
        <v>135</v>
      </c>
      <c r="C83" s="1">
        <v>2023</v>
      </c>
      <c r="D83" s="32">
        <v>1097624091168</v>
      </c>
      <c r="E83" s="32">
        <v>984503543994</v>
      </c>
      <c r="F83" s="32">
        <f t="shared" si="7"/>
        <v>2082127635162</v>
      </c>
      <c r="G83" s="32">
        <v>3303922519911</v>
      </c>
      <c r="H83" s="44">
        <f t="shared" si="8"/>
        <v>0.63019868735241635</v>
      </c>
      <c r="I83" s="26">
        <v>0.55556000000000005</v>
      </c>
      <c r="J83" s="2">
        <v>3</v>
      </c>
      <c r="K83" s="32">
        <v>311955972514</v>
      </c>
      <c r="L83" s="32">
        <v>3303922519911</v>
      </c>
      <c r="M83" s="32">
        <v>984503543994</v>
      </c>
      <c r="N83" s="32">
        <v>3303922519911</v>
      </c>
      <c r="O83" s="26">
        <f t="shared" si="5"/>
        <v>0.39240009676223386</v>
      </c>
      <c r="P83" s="32">
        <v>984503543994</v>
      </c>
      <c r="Q83" s="32">
        <v>2319418975917</v>
      </c>
      <c r="R83" s="8">
        <f t="shared" si="9"/>
        <v>0.4244612785427303</v>
      </c>
      <c r="S83" s="32">
        <v>3303922519911</v>
      </c>
      <c r="T83" s="8">
        <f t="shared" si="6"/>
        <v>28.826131520922182</v>
      </c>
    </row>
    <row r="84" spans="1:20" x14ac:dyDescent="0.35">
      <c r="A84" s="3">
        <v>27</v>
      </c>
      <c r="B84" s="4" t="s">
        <v>135</v>
      </c>
      <c r="C84" s="4">
        <v>2024</v>
      </c>
      <c r="D84" s="33">
        <v>933611295936</v>
      </c>
      <c r="E84" s="33">
        <v>1008005049539</v>
      </c>
      <c r="F84" s="33">
        <f t="shared" si="7"/>
        <v>1941616345475</v>
      </c>
      <c r="G84" s="33">
        <v>3392686914315</v>
      </c>
      <c r="H84" s="45">
        <f t="shared" si="8"/>
        <v>0.57229458376562925</v>
      </c>
      <c r="I84" s="27">
        <v>0.72221999999999997</v>
      </c>
      <c r="J84" s="3">
        <v>3</v>
      </c>
      <c r="K84" s="33">
        <v>277714629913</v>
      </c>
      <c r="L84" s="33">
        <v>3392686914315</v>
      </c>
      <c r="M84" s="33">
        <v>1008005049539</v>
      </c>
      <c r="N84" s="33">
        <v>3392686914315</v>
      </c>
      <c r="O84" s="27">
        <f t="shared" si="5"/>
        <v>0.37896797197144055</v>
      </c>
      <c r="P84" s="33">
        <v>1008005049539</v>
      </c>
      <c r="Q84" s="33">
        <v>2384681864776</v>
      </c>
      <c r="R84" s="9">
        <f t="shared" si="9"/>
        <v>0.42270001060862045</v>
      </c>
      <c r="S84" s="33">
        <v>3392686914315</v>
      </c>
      <c r="T84" s="9">
        <f t="shared" si="6"/>
        <v>28.85264332347225</v>
      </c>
    </row>
    <row r="85" spans="1:20" x14ac:dyDescent="0.35">
      <c r="A85" s="2">
        <v>52</v>
      </c>
      <c r="B85" s="1" t="s">
        <v>136</v>
      </c>
      <c r="C85" s="1">
        <v>2022</v>
      </c>
      <c r="F85" s="32"/>
      <c r="H85" s="44"/>
      <c r="J85" s="2">
        <v>2</v>
      </c>
    </row>
    <row r="86" spans="1:20" x14ac:dyDescent="0.35">
      <c r="A86" s="2">
        <v>52</v>
      </c>
      <c r="B86" s="1" t="s">
        <v>136</v>
      </c>
      <c r="C86" s="1">
        <v>2023</v>
      </c>
      <c r="F86" s="32"/>
      <c r="H86" s="44"/>
      <c r="J86" s="2">
        <v>3</v>
      </c>
    </row>
    <row r="87" spans="1:20" x14ac:dyDescent="0.35">
      <c r="A87" s="29">
        <v>52</v>
      </c>
      <c r="B87" s="4" t="s">
        <v>136</v>
      </c>
      <c r="C87" s="4">
        <v>2024</v>
      </c>
      <c r="D87" s="33"/>
      <c r="E87" s="33"/>
      <c r="F87" s="33"/>
      <c r="G87" s="33"/>
      <c r="H87" s="45"/>
      <c r="I87" s="27"/>
      <c r="J87" s="3">
        <v>3</v>
      </c>
      <c r="K87" s="33"/>
      <c r="L87" s="33"/>
      <c r="M87" s="33"/>
      <c r="N87" s="33"/>
      <c r="O87" s="48"/>
      <c r="P87" s="33"/>
      <c r="Q87" s="33"/>
      <c r="R87" s="9"/>
      <c r="S87" s="33"/>
      <c r="T87" s="9"/>
    </row>
    <row r="88" spans="1:20" x14ac:dyDescent="0.35">
      <c r="A88" s="2">
        <v>28</v>
      </c>
      <c r="B88" s="1" t="s">
        <v>137</v>
      </c>
      <c r="C88" s="1">
        <v>2022</v>
      </c>
      <c r="D88" s="32">
        <v>21948226168500</v>
      </c>
      <c r="E88" s="32">
        <f>15731*1326532000</f>
        <v>20867674892000</v>
      </c>
      <c r="F88" s="32">
        <f t="shared" si="7"/>
        <v>42815901060500</v>
      </c>
      <c r="G88" s="32">
        <f>15731*3545180000</f>
        <v>55769226580000</v>
      </c>
      <c r="H88" s="46">
        <f>F88/G88</f>
        <v>0.76773345599622622</v>
      </c>
      <c r="I88" s="26">
        <v>0.72221999999999997</v>
      </c>
      <c r="J88" s="2">
        <v>3</v>
      </c>
      <c r="K88" s="32">
        <f>15731*204896000</f>
        <v>3223218976000</v>
      </c>
      <c r="L88" s="32">
        <v>55769226580000</v>
      </c>
      <c r="M88" s="32">
        <v>20867674892000</v>
      </c>
      <c r="N88" s="32">
        <v>55769226580000</v>
      </c>
      <c r="O88" s="43">
        <f>(K88/L88)+(M88/N88)</f>
        <v>0.43197468111633258</v>
      </c>
      <c r="P88" s="32">
        <v>20867674892000</v>
      </c>
      <c r="Q88" s="32">
        <f>15731*2218648000</f>
        <v>34901551688000</v>
      </c>
      <c r="R88" s="8">
        <f t="shared" si="9"/>
        <v>0.59790106407145249</v>
      </c>
      <c r="S88" s="32">
        <v>55769226580000</v>
      </c>
      <c r="T88" s="8">
        <f t="shared" si="6"/>
        <v>31.652243338204443</v>
      </c>
    </row>
    <row r="89" spans="1:20" x14ac:dyDescent="0.35">
      <c r="A89" s="2">
        <v>28</v>
      </c>
      <c r="B89" s="1" t="s">
        <v>137</v>
      </c>
      <c r="C89" s="1">
        <v>2023</v>
      </c>
      <c r="D89" s="32">
        <v>22726532061000</v>
      </c>
      <c r="E89" s="32">
        <f>15416*1224350000</f>
        <v>18874579600000</v>
      </c>
      <c r="F89" s="32">
        <f t="shared" si="7"/>
        <v>41601111661000</v>
      </c>
      <c r="G89" s="32">
        <f>15416*3609918000</f>
        <v>55650495888000</v>
      </c>
      <c r="H89" s="44">
        <f t="shared" ref="H89:H90" si="10">F89/G89</f>
        <v>0.74754251506985236</v>
      </c>
      <c r="I89" s="26">
        <v>0.77778000000000003</v>
      </c>
      <c r="J89" s="2">
        <v>3</v>
      </c>
      <c r="K89" s="32">
        <f>15416*176923000</f>
        <v>2727444968000</v>
      </c>
      <c r="L89" s="32">
        <v>55650495888000</v>
      </c>
      <c r="M89" s="32">
        <v>18874579600000</v>
      </c>
      <c r="N89" s="32">
        <v>55650495888000</v>
      </c>
      <c r="O89" s="26">
        <f>(K89/L89)+(M89/N89)</f>
        <v>0.38817308315590549</v>
      </c>
      <c r="P89" s="32">
        <v>18874579600000</v>
      </c>
      <c r="Q89" s="32">
        <f>15416*2385568000</f>
        <v>36775916288000</v>
      </c>
      <c r="R89" s="8">
        <f t="shared" si="9"/>
        <v>0.51323206884062833</v>
      </c>
      <c r="S89" s="32">
        <v>55650495888000</v>
      </c>
      <c r="T89" s="8">
        <f t="shared" si="6"/>
        <v>31.650112104445981</v>
      </c>
    </row>
    <row r="90" spans="1:20" x14ac:dyDescent="0.35">
      <c r="A90" s="3">
        <v>28</v>
      </c>
      <c r="B90" s="4" t="s">
        <v>137</v>
      </c>
      <c r="C90" s="4">
        <v>2024</v>
      </c>
      <c r="D90" s="33">
        <v>18601510830750</v>
      </c>
      <c r="E90" s="33">
        <f>16162*1177341000</f>
        <v>19028185242000</v>
      </c>
      <c r="F90" s="33">
        <f t="shared" si="7"/>
        <v>37629696072750</v>
      </c>
      <c r="G90" s="33">
        <f>16162*3856131000</f>
        <v>62322789222000</v>
      </c>
      <c r="H90" s="45">
        <f t="shared" si="10"/>
        <v>0.60378709846745249</v>
      </c>
      <c r="I90" s="27">
        <v>0.77778000000000003</v>
      </c>
      <c r="J90" s="3">
        <v>3</v>
      </c>
      <c r="K90" s="33">
        <f>16162*185076000</f>
        <v>2991198312000</v>
      </c>
      <c r="L90" s="33">
        <v>62322789222000</v>
      </c>
      <c r="M90" s="33">
        <v>19028185242000</v>
      </c>
      <c r="N90" s="33">
        <v>62322789222000</v>
      </c>
      <c r="O90" s="27">
        <f>(K90/L90)+(M90/N90)</f>
        <v>0.35331190771267884</v>
      </c>
      <c r="P90" s="33">
        <v>19028185242000</v>
      </c>
      <c r="Q90" s="33">
        <f>16162*2678790000</f>
        <v>43294603980000</v>
      </c>
      <c r="R90" s="9">
        <f t="shared" si="9"/>
        <v>0.43950477641024494</v>
      </c>
      <c r="S90" s="33">
        <v>62322789222000</v>
      </c>
      <c r="T90" s="9">
        <f t="shared" si="6"/>
        <v>31.763348272940078</v>
      </c>
    </row>
    <row r="91" spans="1:20" x14ac:dyDescent="0.35">
      <c r="A91" s="1" t="s">
        <v>76</v>
      </c>
      <c r="H91" s="44"/>
      <c r="J91" s="1"/>
      <c r="T91" s="53"/>
    </row>
    <row r="92" spans="1:20" x14ac:dyDescent="0.35">
      <c r="A92" s="1" t="s">
        <v>77</v>
      </c>
      <c r="H92" s="44"/>
      <c r="J92" s="1"/>
      <c r="T92" s="53"/>
    </row>
    <row r="93" spans="1:20" x14ac:dyDescent="0.35">
      <c r="A93" s="1"/>
      <c r="H93" s="44"/>
      <c r="J93" s="1"/>
      <c r="T93" s="53"/>
    </row>
    <row r="94" spans="1:20" x14ac:dyDescent="0.35">
      <c r="A94" s="2">
        <v>29</v>
      </c>
      <c r="B94" s="1" t="s">
        <v>78</v>
      </c>
      <c r="C94" s="1">
        <v>2022</v>
      </c>
      <c r="D94" s="32">
        <v>230756244783104</v>
      </c>
      <c r="E94" s="32">
        <v>169557000000000</v>
      </c>
      <c r="F94" s="32">
        <f>D94+E94</f>
        <v>400313244783104</v>
      </c>
      <c r="G94" s="32">
        <v>413297000000000</v>
      </c>
      <c r="H94" s="44">
        <f>E94/F94</f>
        <v>0.42356080446918176</v>
      </c>
      <c r="I94" s="26">
        <v>0.83333000000000002</v>
      </c>
      <c r="J94" s="2">
        <v>2</v>
      </c>
      <c r="K94" s="32">
        <v>61295000000000</v>
      </c>
      <c r="L94" s="32">
        <v>413297000000000</v>
      </c>
      <c r="M94" s="32">
        <v>169557000000000</v>
      </c>
      <c r="N94" s="32">
        <v>413297000000000</v>
      </c>
      <c r="O94" s="26">
        <f>(K94/L94)+(M94/N94)</f>
        <v>0.55856200262765032</v>
      </c>
      <c r="P94" s="32">
        <v>169557000000000</v>
      </c>
      <c r="Q94" s="32">
        <v>243720000000000</v>
      </c>
      <c r="R94" s="8">
        <f t="shared" si="9"/>
        <v>0.69570408665681926</v>
      </c>
      <c r="S94" s="32">
        <v>413297000000000</v>
      </c>
      <c r="T94" s="8">
        <f>LN(S94)</f>
        <v>33.655187578769997</v>
      </c>
    </row>
    <row r="95" spans="1:20" x14ac:dyDescent="0.35">
      <c r="A95" s="2">
        <v>29</v>
      </c>
      <c r="B95" s="1" t="s">
        <v>78</v>
      </c>
      <c r="C95" s="1">
        <v>2023</v>
      </c>
      <c r="D95" s="32">
        <v>228732075000000</v>
      </c>
      <c r="E95" s="32">
        <v>194981000000000</v>
      </c>
      <c r="F95" s="32">
        <f t="shared" ref="F95:F144" si="11">D95+E95</f>
        <v>423713075000000</v>
      </c>
      <c r="G95" s="32">
        <v>445405000000000</v>
      </c>
      <c r="H95" s="44">
        <f t="shared" ref="H95:H96" si="12">E95/F95</f>
        <v>0.46017225217796265</v>
      </c>
      <c r="I95" s="26">
        <v>0.83333000000000002</v>
      </c>
      <c r="J95" s="2">
        <v>3</v>
      </c>
      <c r="K95" s="32">
        <v>41136000000000</v>
      </c>
      <c r="L95" s="32">
        <v>445405000000000</v>
      </c>
      <c r="M95" s="32">
        <v>194981000000000</v>
      </c>
      <c r="N95" s="32">
        <v>445405000000000</v>
      </c>
      <c r="O95" s="26">
        <f t="shared" ref="O95:O135" si="13">(K95/L95)+(M95/N95)</f>
        <v>0.53011753348076474</v>
      </c>
      <c r="P95" s="32">
        <v>194981000000000</v>
      </c>
      <c r="Q95" s="32">
        <v>250424000000000</v>
      </c>
      <c r="R95" s="8">
        <f t="shared" si="9"/>
        <v>0.77860348848353189</v>
      </c>
      <c r="S95" s="32">
        <v>194981000000000</v>
      </c>
      <c r="T95" s="8">
        <f t="shared" ref="T95:T144" si="14">LN(S95)</f>
        <v>32.903923233847671</v>
      </c>
    </row>
    <row r="96" spans="1:20" x14ac:dyDescent="0.35">
      <c r="A96" s="3">
        <v>29</v>
      </c>
      <c r="B96" s="4" t="s">
        <v>78</v>
      </c>
      <c r="C96" s="4">
        <v>2024</v>
      </c>
      <c r="D96" s="33">
        <v>198371600000000</v>
      </c>
      <c r="E96" s="33">
        <v>201429000000000</v>
      </c>
      <c r="F96" s="33">
        <f t="shared" si="11"/>
        <v>399800600000000</v>
      </c>
      <c r="G96" s="33">
        <v>472925000000000</v>
      </c>
      <c r="H96" s="45">
        <f t="shared" si="12"/>
        <v>0.50382365609256219</v>
      </c>
      <c r="I96" s="27">
        <v>0.83333000000000002</v>
      </c>
      <c r="J96" s="3">
        <v>3</v>
      </c>
      <c r="K96" s="33">
        <v>46439000000000</v>
      </c>
      <c r="L96" s="33">
        <v>472925000000000</v>
      </c>
      <c r="M96" s="33">
        <v>201429000000000</v>
      </c>
      <c r="N96" s="33">
        <v>472925000000000</v>
      </c>
      <c r="O96" s="27">
        <f t="shared" si="13"/>
        <v>0.52411693186023156</v>
      </c>
      <c r="P96" s="33">
        <v>201429000000000</v>
      </c>
      <c r="Q96" s="33">
        <v>271496000000000</v>
      </c>
      <c r="R96" s="9">
        <f t="shared" si="9"/>
        <v>0.74192253292866195</v>
      </c>
      <c r="S96" s="33">
        <v>201429000000000</v>
      </c>
      <c r="T96" s="9">
        <f t="shared" si="14"/>
        <v>32.936458077902763</v>
      </c>
    </row>
    <row r="97" spans="1:20" x14ac:dyDescent="0.35">
      <c r="A97" s="2">
        <v>30</v>
      </c>
      <c r="B97" s="1" t="s">
        <v>79</v>
      </c>
      <c r="C97" s="1">
        <v>2022</v>
      </c>
      <c r="D97" s="32">
        <v>7036810180000</v>
      </c>
      <c r="E97" s="32">
        <v>5469696000000</v>
      </c>
      <c r="F97" s="32">
        <f t="shared" si="11"/>
        <v>12506506180000</v>
      </c>
      <c r="G97" s="32">
        <v>18521161000000</v>
      </c>
      <c r="H97" s="44">
        <f>F97/G97</f>
        <v>0.6752549788860428</v>
      </c>
      <c r="I97" s="26">
        <v>0.66666999999999998</v>
      </c>
      <c r="J97" s="2">
        <v>3</v>
      </c>
      <c r="K97" s="32">
        <v>2073909000000</v>
      </c>
      <c r="L97" s="32">
        <v>18521161000000</v>
      </c>
      <c r="M97" s="32">
        <v>5469696000000</v>
      </c>
      <c r="N97" s="32">
        <v>18521161000000</v>
      </c>
      <c r="O97" s="26">
        <f t="shared" si="13"/>
        <v>0.40729655122591935</v>
      </c>
      <c r="P97" s="32">
        <v>5469696000000</v>
      </c>
      <c r="Q97" s="32">
        <v>13051565000000</v>
      </c>
      <c r="R97" s="8">
        <f t="shared" si="9"/>
        <v>0.41908353519290598</v>
      </c>
      <c r="S97" s="32">
        <v>18521161000000</v>
      </c>
      <c r="T97" s="8">
        <f t="shared" si="14"/>
        <v>30.549935032166591</v>
      </c>
    </row>
    <row r="98" spans="1:20" x14ac:dyDescent="0.35">
      <c r="A98" s="2">
        <v>30</v>
      </c>
      <c r="B98" s="1" t="s">
        <v>79</v>
      </c>
      <c r="C98" s="1">
        <v>2023</v>
      </c>
      <c r="D98" s="32">
        <v>11374569880000</v>
      </c>
      <c r="E98" s="32">
        <v>5073319000000</v>
      </c>
      <c r="F98" s="32">
        <f t="shared" si="11"/>
        <v>16447888880000</v>
      </c>
      <c r="G98" s="32">
        <v>19613043000000</v>
      </c>
      <c r="H98" s="44">
        <f t="shared" ref="H98:H179" si="15">F98/G98</f>
        <v>0.8386199367431153</v>
      </c>
      <c r="I98" s="26">
        <v>0.72221999999999997</v>
      </c>
      <c r="J98" s="2">
        <v>3</v>
      </c>
      <c r="K98" s="32">
        <v>2743360000000</v>
      </c>
      <c r="L98" s="32">
        <v>19612043000000</v>
      </c>
      <c r="M98" s="32">
        <v>5073319000000</v>
      </c>
      <c r="N98" s="32">
        <v>19612043000000</v>
      </c>
      <c r="O98" s="26">
        <f t="shared" si="13"/>
        <v>0.39856525911145513</v>
      </c>
      <c r="P98" s="32">
        <v>5073319000000</v>
      </c>
      <c r="Q98" s="32">
        <v>14539724000000</v>
      </c>
      <c r="R98" s="8">
        <f t="shared" si="9"/>
        <v>0.34892815021798212</v>
      </c>
      <c r="S98" s="32">
        <v>19612043000000</v>
      </c>
      <c r="T98" s="8">
        <f t="shared" si="14"/>
        <v>30.607164932250313</v>
      </c>
    </row>
    <row r="99" spans="1:20" x14ac:dyDescent="0.35">
      <c r="A99" s="3">
        <v>30</v>
      </c>
      <c r="B99" s="4" t="s">
        <v>79</v>
      </c>
      <c r="C99" s="4">
        <v>2024</v>
      </c>
      <c r="D99" s="33">
        <v>11085385900000</v>
      </c>
      <c r="E99" s="33">
        <v>5441894000000</v>
      </c>
      <c r="F99" s="33">
        <f t="shared" si="11"/>
        <v>16527279900000</v>
      </c>
      <c r="G99" s="33">
        <v>21030018000000</v>
      </c>
      <c r="H99" s="45">
        <f t="shared" si="15"/>
        <v>0.78588995501573033</v>
      </c>
      <c r="I99" s="27">
        <v>0.77778000000000003</v>
      </c>
      <c r="J99" s="3">
        <v>3</v>
      </c>
      <c r="K99" s="33">
        <v>3613091000000</v>
      </c>
      <c r="L99" s="33">
        <v>21030018000000</v>
      </c>
      <c r="M99" s="33">
        <v>5441894000000</v>
      </c>
      <c r="N99" s="33">
        <v>21030018000000</v>
      </c>
      <c r="O99" s="27">
        <f t="shared" si="13"/>
        <v>0.43057428671720588</v>
      </c>
      <c r="P99" s="33">
        <v>5441894000000</v>
      </c>
      <c r="Q99" s="33">
        <v>15588124000000</v>
      </c>
      <c r="R99" s="9">
        <f t="shared" si="9"/>
        <v>0.34910512644112918</v>
      </c>
      <c r="S99" s="33">
        <v>21030018000000</v>
      </c>
      <c r="T99" s="9">
        <f t="shared" si="14"/>
        <v>30.676971961562906</v>
      </c>
    </row>
    <row r="100" spans="1:20" x14ac:dyDescent="0.35">
      <c r="A100" s="2">
        <v>31</v>
      </c>
      <c r="B100" s="1" t="s">
        <v>80</v>
      </c>
      <c r="C100" s="1">
        <v>2022</v>
      </c>
      <c r="D100" s="32">
        <v>1746093750000</v>
      </c>
      <c r="E100" s="32">
        <v>556535398855</v>
      </c>
      <c r="F100" s="32">
        <f t="shared" si="11"/>
        <v>2302629148855</v>
      </c>
      <c r="G100" s="32">
        <v>1405279687983</v>
      </c>
      <c r="H100" s="44">
        <f t="shared" si="15"/>
        <v>1.6385557754413764</v>
      </c>
      <c r="I100" s="26">
        <v>0.55556000000000005</v>
      </c>
      <c r="J100" s="2">
        <v>3</v>
      </c>
      <c r="K100" s="32">
        <v>31460705440</v>
      </c>
      <c r="L100" s="32">
        <v>1405279687983</v>
      </c>
      <c r="M100" s="32">
        <v>556535398855</v>
      </c>
      <c r="N100" s="32">
        <v>1405279687983</v>
      </c>
      <c r="O100" s="43">
        <f t="shared" si="13"/>
        <v>0.41841927220833292</v>
      </c>
      <c r="P100" s="32">
        <v>556535398855</v>
      </c>
      <c r="Q100" s="32">
        <v>848744289128</v>
      </c>
      <c r="R100" s="31">
        <f t="shared" si="9"/>
        <v>0.65571622216955894</v>
      </c>
      <c r="S100" s="32">
        <v>1405279687983</v>
      </c>
      <c r="T100" s="8">
        <f t="shared" si="14"/>
        <v>27.971257465083287</v>
      </c>
    </row>
    <row r="101" spans="1:20" x14ac:dyDescent="0.35">
      <c r="A101" s="2">
        <v>31</v>
      </c>
      <c r="B101" s="1" t="s">
        <v>80</v>
      </c>
      <c r="C101" s="1">
        <v>2023</v>
      </c>
      <c r="D101" s="32">
        <v>1722656250000</v>
      </c>
      <c r="E101" s="32">
        <v>472283939973</v>
      </c>
      <c r="F101" s="32">
        <f t="shared" si="11"/>
        <v>2194940189973</v>
      </c>
      <c r="G101" s="32">
        <v>1343976949259</v>
      </c>
      <c r="H101" s="44">
        <f t="shared" si="15"/>
        <v>1.6331680325195885</v>
      </c>
      <c r="I101" s="26">
        <v>0.61111000000000004</v>
      </c>
      <c r="J101" s="2">
        <v>3</v>
      </c>
      <c r="K101" s="32">
        <v>36132276175</v>
      </c>
      <c r="L101" s="32">
        <v>1343976949259</v>
      </c>
      <c r="M101" s="32">
        <v>472283939973</v>
      </c>
      <c r="N101" s="32">
        <v>1343976949259</v>
      </c>
      <c r="O101" s="26">
        <f t="shared" si="13"/>
        <v>0.37829236314530146</v>
      </c>
      <c r="P101" s="32">
        <v>472283939973</v>
      </c>
      <c r="Q101" s="32">
        <v>871693009286</v>
      </c>
      <c r="R101" s="8">
        <f t="shared" si="9"/>
        <v>0.5418007657992413</v>
      </c>
      <c r="S101" s="32">
        <v>1343976949259</v>
      </c>
      <c r="T101" s="8">
        <f t="shared" si="14"/>
        <v>27.926654207033469</v>
      </c>
    </row>
    <row r="102" spans="1:20" ht="16" customHeight="1" x14ac:dyDescent="0.35">
      <c r="A102" s="3">
        <v>31</v>
      </c>
      <c r="B102" s="4" t="s">
        <v>80</v>
      </c>
      <c r="C102" s="4">
        <v>2024</v>
      </c>
      <c r="D102" s="33">
        <v>3046875000000</v>
      </c>
      <c r="E102" s="33">
        <v>516176933443</v>
      </c>
      <c r="F102" s="33">
        <f t="shared" si="11"/>
        <v>3563051933443</v>
      </c>
      <c r="G102" s="33">
        <v>1404114374772</v>
      </c>
      <c r="H102" s="45">
        <f t="shared" si="15"/>
        <v>2.5375795572362603</v>
      </c>
      <c r="I102" s="27">
        <v>0.55556000000000005</v>
      </c>
      <c r="J102" s="3">
        <v>3</v>
      </c>
      <c r="K102" s="33">
        <v>113161529168</v>
      </c>
      <c r="L102" s="33">
        <v>1404114374772</v>
      </c>
      <c r="M102" s="33">
        <v>516176933443</v>
      </c>
      <c r="N102" s="33">
        <v>1404114374772</v>
      </c>
      <c r="O102" s="27">
        <f t="shared" si="13"/>
        <v>0.44821025545956106</v>
      </c>
      <c r="P102" s="33">
        <v>516176933443</v>
      </c>
      <c r="Q102" s="33">
        <v>887937441329</v>
      </c>
      <c r="R102" s="9">
        <f t="shared" si="9"/>
        <v>0.58132128393012017</v>
      </c>
      <c r="S102" s="33">
        <v>1404114374772</v>
      </c>
      <c r="T102" s="9">
        <f t="shared" si="14"/>
        <v>27.970427881727016</v>
      </c>
    </row>
    <row r="103" spans="1:20" ht="16" customHeight="1" x14ac:dyDescent="0.35">
      <c r="A103" s="2">
        <v>32</v>
      </c>
      <c r="B103" s="1" t="s">
        <v>170</v>
      </c>
      <c r="C103" s="42">
        <v>2022</v>
      </c>
      <c r="D103" s="32">
        <v>3723750000000</v>
      </c>
      <c r="E103" s="32">
        <f>15652*68418098</f>
        <v>1070880069896</v>
      </c>
      <c r="F103" s="34">
        <f t="shared" si="11"/>
        <v>4794630069896</v>
      </c>
      <c r="G103" s="32">
        <f>15652*290896966</f>
        <v>4553119311832</v>
      </c>
      <c r="H103" s="44">
        <f t="shared" si="15"/>
        <v>1.0530429232189009</v>
      </c>
      <c r="I103" s="26">
        <v>0.66666999999999998</v>
      </c>
      <c r="J103" s="2">
        <v>2</v>
      </c>
      <c r="K103" s="32">
        <f>15652*13209582</f>
        <v>206756377464</v>
      </c>
      <c r="L103" s="32">
        <v>4553119311832</v>
      </c>
      <c r="M103" s="32">
        <v>1070880069896</v>
      </c>
      <c r="N103" s="32">
        <v>4553119311832</v>
      </c>
      <c r="O103" s="26">
        <f t="shared" si="13"/>
        <v>0.28060684551794191</v>
      </c>
      <c r="P103" s="32">
        <v>1070880069896</v>
      </c>
      <c r="Q103" s="32">
        <f>15652*222478868</f>
        <v>3482239241936</v>
      </c>
      <c r="R103" s="8">
        <f t="shared" si="9"/>
        <v>0.30752627705746866</v>
      </c>
      <c r="S103" s="32">
        <v>4553119311832</v>
      </c>
      <c r="T103" s="8">
        <f t="shared" si="14"/>
        <v>29.146833677040416</v>
      </c>
    </row>
    <row r="104" spans="1:20" ht="16" customHeight="1" x14ac:dyDescent="0.35">
      <c r="A104" s="2">
        <v>32</v>
      </c>
      <c r="B104" s="1" t="s">
        <v>170</v>
      </c>
      <c r="C104" s="1">
        <v>2023</v>
      </c>
      <c r="D104" s="32">
        <v>2700341880000</v>
      </c>
      <c r="E104" s="32">
        <f>15416*72841131</f>
        <v>1122918875496</v>
      </c>
      <c r="F104" s="32">
        <f t="shared" si="11"/>
        <v>3823260755496</v>
      </c>
      <c r="G104" s="32">
        <f>15416*298865582</f>
        <v>4607311812112</v>
      </c>
      <c r="H104" s="44">
        <f t="shared" si="15"/>
        <v>0.82982461604729341</v>
      </c>
      <c r="I104" s="26">
        <v>0.72221999999999997</v>
      </c>
      <c r="J104" s="2">
        <v>3</v>
      </c>
      <c r="K104" s="32">
        <f>15416*32920500</f>
        <v>507502428000</v>
      </c>
      <c r="L104" s="32">
        <v>4607311812112</v>
      </c>
      <c r="M104" s="32">
        <v>1122918875496</v>
      </c>
      <c r="N104" s="32">
        <v>4607311812112</v>
      </c>
      <c r="O104" s="26">
        <f t="shared" si="13"/>
        <v>0.35387691781785702</v>
      </c>
      <c r="P104" s="32">
        <v>1122918875496</v>
      </c>
      <c r="Q104" s="32">
        <f>15416*226024451</f>
        <v>3484392936616</v>
      </c>
      <c r="R104" s="8">
        <f t="shared" si="9"/>
        <v>0.32227102279301634</v>
      </c>
      <c r="S104" s="32">
        <v>4607311812112</v>
      </c>
      <c r="T104" s="8">
        <f t="shared" si="14"/>
        <v>29.158665681839004</v>
      </c>
    </row>
    <row r="105" spans="1:20" ht="16" customHeight="1" x14ac:dyDescent="0.35">
      <c r="A105" s="3">
        <v>32</v>
      </c>
      <c r="B105" s="4" t="s">
        <v>170</v>
      </c>
      <c r="C105" s="4">
        <v>2024</v>
      </c>
      <c r="D105" s="33">
        <v>2610330484000</v>
      </c>
      <c r="E105" s="33">
        <f>16667*66727705</f>
        <v>1112150659235</v>
      </c>
      <c r="F105" s="33">
        <f t="shared" si="11"/>
        <v>3722481143235</v>
      </c>
      <c r="G105" s="33">
        <f>16667*292744260</f>
        <v>4879168581420</v>
      </c>
      <c r="H105" s="45">
        <f t="shared" si="15"/>
        <v>0.76293349596697768</v>
      </c>
      <c r="I105" s="27">
        <v>0.72221999999999997</v>
      </c>
      <c r="J105" s="3">
        <v>3</v>
      </c>
      <c r="K105" s="33">
        <f>16667*33361727</f>
        <v>556039903909</v>
      </c>
      <c r="L105" s="33">
        <v>4879168581778</v>
      </c>
      <c r="M105" s="33">
        <v>1112150659235</v>
      </c>
      <c r="N105" s="33">
        <v>4879168581778</v>
      </c>
      <c r="O105" s="27">
        <f t="shared" si="13"/>
        <v>0.34190057899907628</v>
      </c>
      <c r="P105" s="33">
        <v>1112150659235</v>
      </c>
      <c r="Q105" s="33">
        <f>16667*226016555</f>
        <v>3767017922185</v>
      </c>
      <c r="R105" s="9">
        <f t="shared" si="9"/>
        <v>0.29523370533631926</v>
      </c>
      <c r="S105" s="33">
        <v>4879168581778</v>
      </c>
      <c r="T105" s="9">
        <f t="shared" si="14"/>
        <v>29.215995948692072</v>
      </c>
    </row>
    <row r="106" spans="1:20" x14ac:dyDescent="0.35">
      <c r="A106" s="2">
        <v>33</v>
      </c>
      <c r="B106" s="1" t="s">
        <v>81</v>
      </c>
      <c r="C106" s="1">
        <v>2022</v>
      </c>
      <c r="D106" s="32">
        <v>2752941145500</v>
      </c>
      <c r="E106" s="32">
        <v>1280807259321</v>
      </c>
      <c r="F106" s="32">
        <f t="shared" si="11"/>
        <v>4033748404821</v>
      </c>
      <c r="G106" s="32">
        <v>2682993618242</v>
      </c>
      <c r="H106" s="44">
        <f t="shared" si="15"/>
        <v>1.5034506147890379</v>
      </c>
      <c r="I106" s="26">
        <v>0.44440000000000002</v>
      </c>
      <c r="J106" s="2">
        <v>2</v>
      </c>
      <c r="K106" s="32">
        <v>195135716984</v>
      </c>
      <c r="L106" s="32">
        <v>2682993618242</v>
      </c>
      <c r="M106" s="32">
        <v>1280807259321</v>
      </c>
      <c r="N106" s="32">
        <v>2682993618242</v>
      </c>
      <c r="O106" s="26">
        <f t="shared" si="13"/>
        <v>0.55011050576858778</v>
      </c>
      <c r="P106" s="32">
        <v>1280807259321</v>
      </c>
      <c r="Q106" s="32">
        <v>1146715393890</v>
      </c>
      <c r="R106" s="8">
        <f t="shared" si="9"/>
        <v>1.1169356111773476</v>
      </c>
      <c r="S106" s="32">
        <v>2682993618242</v>
      </c>
      <c r="T106" s="8">
        <f t="shared" si="14"/>
        <v>28.617954308778824</v>
      </c>
    </row>
    <row r="107" spans="1:20" x14ac:dyDescent="0.35">
      <c r="A107" s="2">
        <v>33</v>
      </c>
      <c r="B107" s="1" t="s">
        <v>81</v>
      </c>
      <c r="C107" s="1">
        <v>2023</v>
      </c>
      <c r="D107" s="32">
        <v>6682352866000</v>
      </c>
      <c r="E107" s="32">
        <v>1355214229299</v>
      </c>
      <c r="F107" s="32">
        <f t="shared" si="11"/>
        <v>8037567095299</v>
      </c>
      <c r="G107" s="32">
        <v>3385541561778</v>
      </c>
      <c r="H107" s="44">
        <f t="shared" si="15"/>
        <v>2.3740860800650974</v>
      </c>
      <c r="I107" s="26">
        <v>0.5</v>
      </c>
      <c r="J107" s="2">
        <v>3</v>
      </c>
      <c r="K107" s="32">
        <v>378549982434</v>
      </c>
      <c r="L107" s="32">
        <v>3385541561778</v>
      </c>
      <c r="M107" s="32">
        <v>1355214229299</v>
      </c>
      <c r="N107" s="32">
        <v>3385541561778</v>
      </c>
      <c r="O107" s="26">
        <f t="shared" si="13"/>
        <v>0.51210838209957499</v>
      </c>
      <c r="P107" s="32">
        <v>1355214229299</v>
      </c>
      <c r="Q107" s="32">
        <v>1386054859150</v>
      </c>
      <c r="R107" s="8">
        <f t="shared" si="9"/>
        <v>0.97774934401231917</v>
      </c>
      <c r="S107" s="32">
        <v>3385541561778</v>
      </c>
      <c r="T107" s="8">
        <f t="shared" si="14"/>
        <v>28.850534998204378</v>
      </c>
    </row>
    <row r="108" spans="1:20" x14ac:dyDescent="0.35">
      <c r="A108" s="3">
        <v>33</v>
      </c>
      <c r="B108" s="4" t="s">
        <v>81</v>
      </c>
      <c r="C108" s="4">
        <v>2024</v>
      </c>
      <c r="D108" s="33">
        <v>4329411716000</v>
      </c>
      <c r="E108" s="33">
        <v>1373353780595</v>
      </c>
      <c r="F108" s="33">
        <f t="shared" si="11"/>
        <v>5702765496595</v>
      </c>
      <c r="G108" s="33">
        <v>3841488703178</v>
      </c>
      <c r="H108" s="45">
        <f t="shared" si="15"/>
        <v>1.4845196581932407</v>
      </c>
      <c r="I108" s="27">
        <v>0.5</v>
      </c>
      <c r="J108" s="3">
        <v>3</v>
      </c>
      <c r="K108" s="33">
        <v>401760683051</v>
      </c>
      <c r="L108" s="33">
        <v>3841488703178</v>
      </c>
      <c r="M108" s="33">
        <v>1373353780595</v>
      </c>
      <c r="N108" s="33">
        <v>3841488703178</v>
      </c>
      <c r="O108" s="27">
        <f t="shared" si="13"/>
        <v>0.46209024698614298</v>
      </c>
      <c r="P108" s="33">
        <v>1373353780595</v>
      </c>
      <c r="Q108" s="33">
        <v>1616577859654</v>
      </c>
      <c r="R108" s="9">
        <f t="shared" si="9"/>
        <v>0.84954385116281517</v>
      </c>
      <c r="S108" s="33">
        <v>3841488703178</v>
      </c>
      <c r="T108" s="9">
        <f t="shared" si="14"/>
        <v>28.976881090517772</v>
      </c>
    </row>
    <row r="109" spans="1:20" x14ac:dyDescent="0.35">
      <c r="A109" s="2">
        <v>34</v>
      </c>
      <c r="B109" s="1" t="s">
        <v>82</v>
      </c>
      <c r="C109" s="1">
        <v>2022</v>
      </c>
      <c r="D109" s="32">
        <v>1951488000000</v>
      </c>
      <c r="E109" s="32">
        <v>11790337000000</v>
      </c>
      <c r="F109" s="32">
        <f t="shared" si="11"/>
        <v>13741825000000</v>
      </c>
      <c r="G109" s="32">
        <v>19016012000000</v>
      </c>
      <c r="H109" s="44">
        <f t="shared" si="15"/>
        <v>0.72264494784710909</v>
      </c>
      <c r="I109" s="26">
        <v>0.66666999999999998</v>
      </c>
      <c r="J109" s="2">
        <v>3</v>
      </c>
      <c r="K109" s="32">
        <v>885516000000</v>
      </c>
      <c r="L109" s="32">
        <v>19016012000000</v>
      </c>
      <c r="M109" s="32">
        <v>11790337000000</v>
      </c>
      <c r="N109" s="32">
        <v>19016012000000</v>
      </c>
      <c r="O109" s="26">
        <f t="shared" si="13"/>
        <v>0.66658839929213343</v>
      </c>
      <c r="P109" s="32">
        <v>11790337000000</v>
      </c>
      <c r="Q109" s="32">
        <v>7225675000000</v>
      </c>
      <c r="R109" s="8">
        <f t="shared" si="9"/>
        <v>1.6317281084466158</v>
      </c>
      <c r="S109" s="32">
        <v>19016012000000</v>
      </c>
      <c r="T109" s="8">
        <f t="shared" si="14"/>
        <v>30.576302477033781</v>
      </c>
    </row>
    <row r="110" spans="1:20" x14ac:dyDescent="0.35">
      <c r="A110" s="2">
        <v>34</v>
      </c>
      <c r="B110" s="1" t="s">
        <v>82</v>
      </c>
      <c r="C110" s="1">
        <v>2023</v>
      </c>
      <c r="D110" s="32">
        <v>3606768000000</v>
      </c>
      <c r="E110" s="32">
        <v>10623835000000</v>
      </c>
      <c r="F110" s="32">
        <f t="shared" si="11"/>
        <v>14230603000000</v>
      </c>
      <c r="G110" s="32">
        <v>18975738000000</v>
      </c>
      <c r="H110" s="44">
        <f t="shared" si="15"/>
        <v>0.74993673500340274</v>
      </c>
      <c r="I110" s="26">
        <v>0.72221999999999997</v>
      </c>
      <c r="J110" s="2">
        <v>3</v>
      </c>
      <c r="K110" s="32">
        <v>690655000000</v>
      </c>
      <c r="L110" s="32">
        <v>18975738000000</v>
      </c>
      <c r="M110" s="32">
        <v>10623835000000</v>
      </c>
      <c r="N110" s="32">
        <v>18975738000000</v>
      </c>
      <c r="O110" s="26">
        <f t="shared" si="13"/>
        <v>0.59626086742976736</v>
      </c>
      <c r="P110" s="32">
        <v>10623835000000</v>
      </c>
      <c r="Q110" s="32">
        <v>8351903000000</v>
      </c>
      <c r="R110" s="8">
        <f t="shared" si="9"/>
        <v>1.2720256688804934</v>
      </c>
      <c r="S110" s="32">
        <v>18975738000000</v>
      </c>
      <c r="T110" s="8">
        <f t="shared" si="14"/>
        <v>30.574182331734551</v>
      </c>
    </row>
    <row r="111" spans="1:20" x14ac:dyDescent="0.35">
      <c r="A111" s="3">
        <v>34</v>
      </c>
      <c r="B111" s="4" t="s">
        <v>82</v>
      </c>
      <c r="C111" s="4">
        <v>2024</v>
      </c>
      <c r="D111" s="33">
        <v>3902976000000</v>
      </c>
      <c r="E111" s="33">
        <v>11107152000000</v>
      </c>
      <c r="F111" s="33">
        <f t="shared" si="11"/>
        <v>15010128000000</v>
      </c>
      <c r="G111" s="33">
        <v>20563695000000</v>
      </c>
      <c r="H111" s="45">
        <f t="shared" si="15"/>
        <v>0.7299334093410742</v>
      </c>
      <c r="I111" s="27">
        <v>0.66666999999999998</v>
      </c>
      <c r="J111" s="3">
        <v>3</v>
      </c>
      <c r="K111" s="33">
        <v>1038379000000</v>
      </c>
      <c r="L111" s="33">
        <v>20563695000000</v>
      </c>
      <c r="M111" s="33">
        <v>11107152000000</v>
      </c>
      <c r="N111" s="33">
        <v>20563695000000</v>
      </c>
      <c r="O111" s="27">
        <f t="shared" si="13"/>
        <v>0.59062979683369166</v>
      </c>
      <c r="P111" s="33">
        <v>11107152000000</v>
      </c>
      <c r="Q111" s="33">
        <v>9456543000000</v>
      </c>
      <c r="R111" s="9">
        <f t="shared" si="9"/>
        <v>1.1745467661914084</v>
      </c>
      <c r="S111" s="33">
        <v>20563695000000</v>
      </c>
      <c r="T111" s="9">
        <f t="shared" si="14"/>
        <v>30.654548258267017</v>
      </c>
    </row>
    <row r="112" spans="1:20" x14ac:dyDescent="0.35">
      <c r="A112" s="2">
        <v>35</v>
      </c>
      <c r="B112" s="1" t="s">
        <v>83</v>
      </c>
      <c r="C112" s="1">
        <v>2022</v>
      </c>
      <c r="D112" s="32">
        <v>1276405685950</v>
      </c>
      <c r="E112" s="32">
        <v>900101128340</v>
      </c>
      <c r="F112" s="32">
        <f t="shared" si="11"/>
        <v>2176506814290</v>
      </c>
      <c r="G112" s="32">
        <v>3882465049707</v>
      </c>
      <c r="H112" s="44">
        <f>F112/G112</f>
        <v>0.56059920345046133</v>
      </c>
      <c r="I112" s="26">
        <v>0.61111000000000004</v>
      </c>
      <c r="J112" s="2">
        <v>2</v>
      </c>
      <c r="K112" s="32">
        <v>102493991519</v>
      </c>
      <c r="L112" s="32">
        <v>3882465049707</v>
      </c>
      <c r="M112" s="32">
        <v>900101128340</v>
      </c>
      <c r="N112" s="32">
        <v>3882465049707</v>
      </c>
      <c r="O112" s="43">
        <f t="shared" si="13"/>
        <v>0.25823674058177637</v>
      </c>
      <c r="P112" s="32">
        <v>900101128340</v>
      </c>
      <c r="Q112" s="32">
        <v>2982354921367</v>
      </c>
      <c r="R112" s="8">
        <f t="shared" si="9"/>
        <v>0.30180885644805389</v>
      </c>
      <c r="S112" s="32">
        <v>3882465049707</v>
      </c>
      <c r="T112" s="8">
        <f t="shared" si="14"/>
        <v>28.987491389921523</v>
      </c>
    </row>
    <row r="113" spans="1:20" x14ac:dyDescent="0.35">
      <c r="A113" s="2">
        <v>35</v>
      </c>
      <c r="B113" s="1" t="s">
        <v>83</v>
      </c>
      <c r="C113" s="1">
        <v>2023</v>
      </c>
      <c r="D113" s="32">
        <v>1634061777900</v>
      </c>
      <c r="E113" s="32">
        <v>968594117624</v>
      </c>
      <c r="F113" s="32">
        <f t="shared" si="11"/>
        <v>2602655895524</v>
      </c>
      <c r="G113" s="32">
        <v>4459381724679</v>
      </c>
      <c r="H113" s="44">
        <f t="shared" si="15"/>
        <v>0.58363604109521416</v>
      </c>
      <c r="I113" s="26">
        <v>0.77778000000000003</v>
      </c>
      <c r="J113" s="2">
        <v>3</v>
      </c>
      <c r="K113" s="32">
        <v>66907139491</v>
      </c>
      <c r="L113" s="32">
        <v>4459381724679</v>
      </c>
      <c r="M113" s="32">
        <v>968594117624</v>
      </c>
      <c r="N113" s="32">
        <v>4459381724679</v>
      </c>
      <c r="O113" s="26">
        <f t="shared" si="13"/>
        <v>0.23220735990918978</v>
      </c>
      <c r="P113" s="32">
        <v>868594117624</v>
      </c>
      <c r="Q113" s="32">
        <v>3490787607055</v>
      </c>
      <c r="R113" s="8">
        <f t="shared" si="9"/>
        <v>0.24882468239217473</v>
      </c>
      <c r="S113" s="32">
        <v>4459381724679</v>
      </c>
      <c r="T113" s="8">
        <f t="shared" si="14"/>
        <v>29.126031245597357</v>
      </c>
    </row>
    <row r="114" spans="1:20" x14ac:dyDescent="0.35">
      <c r="A114" s="3">
        <v>35</v>
      </c>
      <c r="B114" s="4" t="s">
        <v>83</v>
      </c>
      <c r="C114" s="4">
        <v>2024</v>
      </c>
      <c r="D114" s="33">
        <v>1601249292400</v>
      </c>
      <c r="E114" s="33">
        <v>739038995061</v>
      </c>
      <c r="F114" s="33">
        <f t="shared" si="11"/>
        <v>2340288287461</v>
      </c>
      <c r="G114" s="33">
        <v>4255811894871</v>
      </c>
      <c r="H114" s="45">
        <f t="shared" si="15"/>
        <v>0.54990407124935625</v>
      </c>
      <c r="I114" s="27">
        <v>0.66666999999999998</v>
      </c>
      <c r="J114" s="3">
        <v>3</v>
      </c>
      <c r="K114" s="33">
        <v>79786500598</v>
      </c>
      <c r="L114" s="33">
        <v>4255811894871</v>
      </c>
      <c r="M114" s="33">
        <v>739038995061</v>
      </c>
      <c r="N114" s="33">
        <v>4255811894871</v>
      </c>
      <c r="O114" s="27">
        <f t="shared" si="13"/>
        <v>0.19240171226689515</v>
      </c>
      <c r="P114" s="33">
        <v>739038995061</v>
      </c>
      <c r="Q114" s="33">
        <v>3516772899810</v>
      </c>
      <c r="R114" s="8">
        <f t="shared" si="9"/>
        <v>0.21014692051935679</v>
      </c>
      <c r="S114" s="33">
        <v>4255811894871</v>
      </c>
      <c r="T114" s="9">
        <f t="shared" si="14"/>
        <v>29.079306669357454</v>
      </c>
    </row>
    <row r="115" spans="1:20" x14ac:dyDescent="0.35">
      <c r="A115" s="2">
        <v>36</v>
      </c>
      <c r="B115" s="1" t="s">
        <v>171</v>
      </c>
      <c r="C115" s="1">
        <v>2022</v>
      </c>
      <c r="D115" s="32">
        <v>19467847523400</v>
      </c>
      <c r="E115" s="32">
        <f>15686*138101162</f>
        <v>2166254827132</v>
      </c>
      <c r="F115" s="32">
        <f t="shared" si="11"/>
        <v>21634102350532</v>
      </c>
      <c r="G115" s="32">
        <f>15686*462933465</f>
        <v>7261574331990</v>
      </c>
      <c r="H115" s="44">
        <f>F115/G115</f>
        <v>2.9792578525603659</v>
      </c>
      <c r="I115" s="26">
        <v>0.61111000000000004</v>
      </c>
      <c r="J115" s="2">
        <v>3</v>
      </c>
      <c r="K115" s="32">
        <f>15686*2261408</f>
        <v>35472445888</v>
      </c>
      <c r="L115" s="32">
        <v>7261574331990</v>
      </c>
      <c r="M115" s="32">
        <v>2166254827132</v>
      </c>
      <c r="N115" s="32">
        <v>7261574331990</v>
      </c>
      <c r="O115" s="26">
        <f t="shared" si="13"/>
        <v>0.30320246992729294</v>
      </c>
      <c r="P115" s="32">
        <v>2166254827132</v>
      </c>
      <c r="Q115" s="32">
        <f>15686*324832303</f>
        <v>5095319504858</v>
      </c>
      <c r="R115" s="8">
        <f t="shared" si="9"/>
        <v>0.42514602373151295</v>
      </c>
      <c r="S115" s="32">
        <v>7261574331990</v>
      </c>
      <c r="T115" s="8">
        <f t="shared" si="14"/>
        <v>29.613617771393024</v>
      </c>
    </row>
    <row r="116" spans="1:20" x14ac:dyDescent="0.35">
      <c r="A116" s="2">
        <v>36</v>
      </c>
      <c r="B116" s="1" t="s">
        <v>171</v>
      </c>
      <c r="C116" s="1">
        <v>2023</v>
      </c>
      <c r="D116" s="32">
        <v>34987230000000</v>
      </c>
      <c r="E116" s="32">
        <f>15433*142556456</f>
        <v>2200073785448</v>
      </c>
      <c r="F116" s="32">
        <f t="shared" si="11"/>
        <v>37187303785448</v>
      </c>
      <c r="G116" s="32">
        <f>15433*523557484</f>
        <v>8080062650572</v>
      </c>
      <c r="H116" s="44">
        <f>F116/G116</f>
        <v>4.6023533967048458</v>
      </c>
      <c r="I116" s="26">
        <v>0.61111000000000004</v>
      </c>
      <c r="J116" s="2">
        <v>3</v>
      </c>
      <c r="K116" s="32">
        <f>15433*30173539</f>
        <v>465668227387</v>
      </c>
      <c r="L116" s="32">
        <v>8080062650572</v>
      </c>
      <c r="M116" s="32">
        <v>2200073785448</v>
      </c>
      <c r="N116" s="32">
        <v>8080063650572</v>
      </c>
      <c r="O116" s="26">
        <f t="shared" si="13"/>
        <v>0.32991597414929369</v>
      </c>
      <c r="P116" s="32">
        <v>2200073785448</v>
      </c>
      <c r="Q116" s="32">
        <f>15433*381001028</f>
        <v>5879988865124</v>
      </c>
      <c r="R116" s="8">
        <f t="shared" si="9"/>
        <v>0.37416291695674903</v>
      </c>
      <c r="S116" s="32">
        <v>8080063650572</v>
      </c>
      <c r="T116" s="8">
        <f t="shared" si="14"/>
        <v>29.720420865976564</v>
      </c>
    </row>
    <row r="117" spans="1:20" x14ac:dyDescent="0.35">
      <c r="A117" s="56">
        <v>36</v>
      </c>
      <c r="B117" s="4" t="s">
        <v>171</v>
      </c>
      <c r="C117" s="55">
        <v>2024</v>
      </c>
      <c r="D117" s="33">
        <v>56934271059000</v>
      </c>
      <c r="E117" s="33">
        <f>16158*84526421</f>
        <v>1365777910518</v>
      </c>
      <c r="F117" s="33">
        <f>D117+E117</f>
        <v>58300048969518</v>
      </c>
      <c r="G117" s="33">
        <f>16158*479470542</f>
        <v>7747285017636</v>
      </c>
      <c r="H117" s="45">
        <f>F117/G117</f>
        <v>7.5252232022964387</v>
      </c>
      <c r="I117" s="27">
        <v>0.61111000000000004</v>
      </c>
      <c r="J117" s="3">
        <v>3</v>
      </c>
      <c r="K117" s="33">
        <f>16158*50208316</f>
        <v>811265969928</v>
      </c>
      <c r="L117" s="33">
        <v>7747285017572</v>
      </c>
      <c r="M117" s="33">
        <v>1365777910518</v>
      </c>
      <c r="N117" s="33">
        <v>7747285017572</v>
      </c>
      <c r="O117" s="27">
        <f t="shared" si="13"/>
        <v>0.28100733037549785</v>
      </c>
      <c r="P117" s="33">
        <v>1365777910518</v>
      </c>
      <c r="Q117" s="33">
        <f>16158*394944121</f>
        <v>6381507107118</v>
      </c>
      <c r="R117" s="9">
        <f t="shared" si="9"/>
        <v>0.21402121592791098</v>
      </c>
      <c r="S117" s="33">
        <v>7747285017572</v>
      </c>
      <c r="T117" s="9">
        <f t="shared" si="14"/>
        <v>29.678363577604017</v>
      </c>
    </row>
    <row r="118" spans="1:20" x14ac:dyDescent="0.35">
      <c r="A118" s="2">
        <v>37</v>
      </c>
      <c r="B118" s="1" t="s">
        <v>84</v>
      </c>
      <c r="C118" s="1">
        <v>2022</v>
      </c>
      <c r="D118" s="32">
        <v>587266113409</v>
      </c>
      <c r="E118" s="32">
        <f>15723*26737653</f>
        <v>420396118119</v>
      </c>
      <c r="F118" s="32">
        <f t="shared" si="11"/>
        <v>1007662231528</v>
      </c>
      <c r="G118" s="32">
        <f>15723*172000176</f>
        <v>2704358767248</v>
      </c>
      <c r="H118" s="44">
        <f t="shared" si="15"/>
        <v>0.3726067131815553</v>
      </c>
      <c r="I118" s="26">
        <v>0.66666999999999998</v>
      </c>
      <c r="J118" s="2">
        <v>3</v>
      </c>
      <c r="K118" s="32">
        <f>15723*8539274</f>
        <v>134263005102</v>
      </c>
      <c r="L118" s="32">
        <v>2704358767248</v>
      </c>
      <c r="M118" s="32">
        <v>420396118119</v>
      </c>
      <c r="N118" s="32">
        <v>2704358767248</v>
      </c>
      <c r="O118" s="26">
        <f t="shared" si="13"/>
        <v>0.20509820292276909</v>
      </c>
      <c r="P118" s="32">
        <v>420396118119</v>
      </c>
      <c r="Q118" s="32">
        <f>15723*145262523</f>
        <v>2283962649129</v>
      </c>
      <c r="R118" s="8">
        <f t="shared" si="9"/>
        <v>0.18406435774215488</v>
      </c>
      <c r="S118" s="32">
        <v>2704358767248</v>
      </c>
      <c r="T118" s="8">
        <f t="shared" si="14"/>
        <v>28.625885945503292</v>
      </c>
    </row>
    <row r="119" spans="1:20" x14ac:dyDescent="0.35">
      <c r="A119" s="2">
        <v>37</v>
      </c>
      <c r="B119" s="1" t="s">
        <v>84</v>
      </c>
      <c r="C119" s="1">
        <v>2023</v>
      </c>
      <c r="D119" s="32">
        <v>532817599583</v>
      </c>
      <c r="E119" s="32">
        <f>15408*33716223</f>
        <v>519499563984</v>
      </c>
      <c r="F119" s="32">
        <f t="shared" si="11"/>
        <v>1052317163567</v>
      </c>
      <c r="G119" s="32">
        <f>15408*158715638</f>
        <v>2445490550304</v>
      </c>
      <c r="H119" s="44">
        <f t="shared" si="15"/>
        <v>0.43030923322774073</v>
      </c>
      <c r="I119" s="26">
        <v>0.66666999999999998</v>
      </c>
      <c r="J119" s="2">
        <v>3</v>
      </c>
      <c r="K119" s="32">
        <f>15408*5865322</f>
        <v>90372881376</v>
      </c>
      <c r="L119" s="32">
        <v>2445490550304</v>
      </c>
      <c r="M119" s="32">
        <v>519499563984</v>
      </c>
      <c r="N119" s="32">
        <v>2445490550304</v>
      </c>
      <c r="O119" s="26">
        <f t="shared" si="13"/>
        <v>0.24938654753100006</v>
      </c>
      <c r="P119" s="32">
        <v>519499563084</v>
      </c>
      <c r="Q119" s="32">
        <f>15408*125999415</f>
        <v>1941398986320</v>
      </c>
      <c r="R119" s="8">
        <f t="shared" si="9"/>
        <v>0.26759031334858807</v>
      </c>
      <c r="S119" s="32">
        <v>2445490550304</v>
      </c>
      <c r="T119" s="8">
        <f t="shared" si="14"/>
        <v>28.525266852802226</v>
      </c>
    </row>
    <row r="120" spans="1:20" x14ac:dyDescent="0.35">
      <c r="A120" s="3">
        <v>37</v>
      </c>
      <c r="B120" s="4" t="s">
        <v>84</v>
      </c>
      <c r="C120" s="4">
        <v>2024</v>
      </c>
      <c r="D120" s="33">
        <v>423920571931</v>
      </c>
      <c r="E120" s="33">
        <f>16155*39354285</f>
        <v>635768474175</v>
      </c>
      <c r="F120" s="33">
        <f t="shared" si="11"/>
        <v>1059689046106</v>
      </c>
      <c r="G120" s="33">
        <f>16155*155447698</f>
        <v>2511257561190</v>
      </c>
      <c r="H120" s="45">
        <f t="shared" si="15"/>
        <v>0.42197545265084208</v>
      </c>
      <c r="I120" s="27">
        <v>0.66666999999999998</v>
      </c>
      <c r="J120" s="3">
        <v>3</v>
      </c>
      <c r="K120" s="33">
        <f>16155*7363464</f>
        <v>118956760920</v>
      </c>
      <c r="L120" s="33">
        <v>2511257561190</v>
      </c>
      <c r="M120" s="33">
        <v>635768474175</v>
      </c>
      <c r="N120" s="33">
        <v>2511257561190</v>
      </c>
      <c r="O120" s="27">
        <f t="shared" si="13"/>
        <v>0.30053676960851489</v>
      </c>
      <c r="P120" s="33">
        <v>635768474175</v>
      </c>
      <c r="Q120" s="33">
        <f>16155*116093413</f>
        <v>1875489087015</v>
      </c>
      <c r="R120" s="9">
        <f t="shared" si="9"/>
        <v>0.33898809573287331</v>
      </c>
      <c r="S120" s="33">
        <v>2511257561190</v>
      </c>
      <c r="T120" s="9">
        <f t="shared" si="14"/>
        <v>28.551804763997851</v>
      </c>
    </row>
    <row r="121" spans="1:20" x14ac:dyDescent="0.35">
      <c r="A121" s="2">
        <v>38</v>
      </c>
      <c r="B121" s="1" t="s">
        <v>85</v>
      </c>
      <c r="C121" s="1">
        <v>2022</v>
      </c>
      <c r="D121" s="32">
        <v>3695100000000</v>
      </c>
      <c r="E121" s="32">
        <f>15731*404643537</f>
        <v>6365447480547</v>
      </c>
      <c r="F121" s="32">
        <f t="shared" si="11"/>
        <v>10060547480547</v>
      </c>
      <c r="G121" s="32">
        <f>15731*869800216</f>
        <v>13682827197896</v>
      </c>
      <c r="H121" s="44">
        <f t="shared" si="15"/>
        <v>0.73526818215565892</v>
      </c>
      <c r="I121" s="26">
        <v>0.61111000000000004</v>
      </c>
      <c r="J121" s="2">
        <v>3</v>
      </c>
      <c r="K121" s="32">
        <f>15731*29496749</f>
        <v>464013358519</v>
      </c>
      <c r="L121" s="32">
        <v>13682827197896</v>
      </c>
      <c r="M121" s="32">
        <v>6365447480547</v>
      </c>
      <c r="N121" s="32">
        <v>13682827197896</v>
      </c>
      <c r="O121" s="26">
        <f t="shared" si="13"/>
        <v>0.49912644077798207</v>
      </c>
      <c r="P121" s="32">
        <v>6365447480547</v>
      </c>
      <c r="Q121" s="32">
        <f>15731*465156679</f>
        <v>7317379717349</v>
      </c>
      <c r="R121" s="8">
        <f t="shared" si="9"/>
        <v>0.86990804446774372</v>
      </c>
      <c r="S121" s="32">
        <v>13682827197896</v>
      </c>
      <c r="T121" s="8">
        <f t="shared" si="14"/>
        <v>30.247162673283235</v>
      </c>
    </row>
    <row r="122" spans="1:20" x14ac:dyDescent="0.35">
      <c r="A122" s="2">
        <v>38</v>
      </c>
      <c r="B122" s="1" t="s">
        <v>85</v>
      </c>
      <c r="C122" s="1">
        <v>2023</v>
      </c>
      <c r="D122" s="32">
        <v>1994700000000</v>
      </c>
      <c r="E122" s="32">
        <f>15416*405935865</f>
        <v>6257907294840</v>
      </c>
      <c r="F122" s="32">
        <f t="shared" si="11"/>
        <v>8252607294840</v>
      </c>
      <c r="G122" s="32">
        <f>15416*821100204</f>
        <v>12658080744864</v>
      </c>
      <c r="H122" s="44">
        <f t="shared" si="15"/>
        <v>0.6519635528623472</v>
      </c>
      <c r="I122" s="26">
        <v>0.61111000000000004</v>
      </c>
      <c r="J122" s="2">
        <v>3</v>
      </c>
      <c r="K122" s="32">
        <f>15416*12574550</f>
        <v>193849262800</v>
      </c>
      <c r="L122" s="32">
        <v>12658080744864</v>
      </c>
      <c r="M122" s="32">
        <v>6257907294840</v>
      </c>
      <c r="N122" s="32">
        <v>12658080744864</v>
      </c>
      <c r="O122" s="26">
        <f t="shared" si="13"/>
        <v>0.50969469129494938</v>
      </c>
      <c r="P122" s="32">
        <v>6257907294840</v>
      </c>
      <c r="Q122" s="32">
        <f>15416*415164339</f>
        <v>6400173450024</v>
      </c>
      <c r="R122" s="8">
        <f t="shared" si="9"/>
        <v>0.97777151567924048</v>
      </c>
      <c r="S122" s="32">
        <v>12658080744864</v>
      </c>
      <c r="T122" s="8">
        <f t="shared" si="14"/>
        <v>30.169316921220393</v>
      </c>
    </row>
    <row r="123" spans="1:20" x14ac:dyDescent="0.35">
      <c r="A123" s="3">
        <v>38</v>
      </c>
      <c r="B123" s="4" t="s">
        <v>85</v>
      </c>
      <c r="C123" s="4">
        <v>2024</v>
      </c>
      <c r="D123" s="33">
        <v>1811580000000</v>
      </c>
      <c r="E123" s="33">
        <f>16162*380447481</f>
        <v>6148792187922</v>
      </c>
      <c r="F123" s="33">
        <f t="shared" si="11"/>
        <v>7960372187922</v>
      </c>
      <c r="G123" s="33">
        <f>16162*777594299</f>
        <v>12567479060438</v>
      </c>
      <c r="H123" s="45">
        <f t="shared" si="15"/>
        <v>0.63341041983359914</v>
      </c>
      <c r="I123" s="27">
        <v>0.61111000000000004</v>
      </c>
      <c r="J123" s="3">
        <v>3</v>
      </c>
      <c r="K123" s="33">
        <f>16162*26782444</f>
        <v>432857859928</v>
      </c>
      <c r="L123" s="33">
        <v>12567479060438</v>
      </c>
      <c r="M123" s="33">
        <v>6148792187922</v>
      </c>
      <c r="N123" s="33">
        <v>12567479060438</v>
      </c>
      <c r="O123" s="27">
        <f t="shared" si="13"/>
        <v>0.52370487479615635</v>
      </c>
      <c r="P123" s="33">
        <v>6148792187922</v>
      </c>
      <c r="Q123" s="33">
        <f>16162*397146818</f>
        <v>6418686872516</v>
      </c>
      <c r="R123" s="9">
        <f t="shared" si="9"/>
        <v>0.95795172907566895</v>
      </c>
      <c r="S123" s="33">
        <v>12567479060438</v>
      </c>
      <c r="T123" s="9">
        <f t="shared" si="14"/>
        <v>30.162133566344099</v>
      </c>
    </row>
    <row r="124" spans="1:20" x14ac:dyDescent="0.35">
      <c r="A124" s="49">
        <v>39</v>
      </c>
      <c r="B124" s="1" t="s">
        <v>86</v>
      </c>
      <c r="C124" s="1">
        <v>2022</v>
      </c>
      <c r="D124" s="32">
        <v>127221235075</v>
      </c>
      <c r="E124" s="32">
        <f>15731*1172514690</f>
        <v>18444828588390</v>
      </c>
      <c r="F124" s="32">
        <f t="shared" si="11"/>
        <v>18572049823465</v>
      </c>
      <c r="G124" s="32">
        <f>15731*228076478</f>
        <v>3587871075418</v>
      </c>
      <c r="H124" s="44">
        <f t="shared" si="15"/>
        <v>5.1763425811785302</v>
      </c>
      <c r="I124" s="26">
        <v>0.61111000000000004</v>
      </c>
      <c r="J124" s="2">
        <v>3</v>
      </c>
      <c r="K124" s="32">
        <f>15731*6018967</f>
        <v>94684369877</v>
      </c>
      <c r="L124" s="32">
        <v>3587871075418</v>
      </c>
      <c r="M124" s="32">
        <v>18444828588390</v>
      </c>
      <c r="N124" s="32">
        <v>3587871075418</v>
      </c>
      <c r="O124" s="26">
        <f t="shared" si="13"/>
        <v>5.1672740097293159</v>
      </c>
      <c r="P124" s="32">
        <v>18444828588390</v>
      </c>
      <c r="Q124" s="32">
        <f>15731*-944438212</f>
        <v>-14856957512972</v>
      </c>
      <c r="R124" s="8">
        <f t="shared" si="9"/>
        <v>-1.2414943350470873</v>
      </c>
      <c r="S124" s="32">
        <v>3587871075418</v>
      </c>
      <c r="T124" s="8">
        <f t="shared" si="14"/>
        <v>28.908580127321773</v>
      </c>
    </row>
    <row r="125" spans="1:20" x14ac:dyDescent="0.35">
      <c r="A125" s="2">
        <v>39</v>
      </c>
      <c r="B125" s="1" t="s">
        <v>86</v>
      </c>
      <c r="C125" s="1">
        <v>2023</v>
      </c>
      <c r="D125" s="32">
        <v>115655668250</v>
      </c>
      <c r="E125" s="32">
        <f>15416*1166388998</f>
        <v>17981052793168</v>
      </c>
      <c r="F125" s="32">
        <f t="shared" si="11"/>
        <v>18096708461418</v>
      </c>
      <c r="G125" s="32">
        <f>15416*211215567</f>
        <v>3256099180872</v>
      </c>
      <c r="H125" s="44">
        <f t="shared" si="15"/>
        <v>5.557787848640289</v>
      </c>
      <c r="I125" s="26">
        <v>0.61111000000000004</v>
      </c>
      <c r="J125" s="2">
        <v>3</v>
      </c>
      <c r="K125" s="32">
        <f>15416*3867904</f>
        <v>59627608064</v>
      </c>
      <c r="L125" s="32">
        <v>3256099180872</v>
      </c>
      <c r="M125" s="32">
        <v>17981052793168</v>
      </c>
      <c r="N125" s="32">
        <v>3256099180872</v>
      </c>
      <c r="O125" s="26">
        <f t="shared" si="13"/>
        <v>5.5405807375930767</v>
      </c>
      <c r="P125" s="32">
        <v>17981052793168</v>
      </c>
      <c r="Q125" s="32">
        <f>15416*-955173431</f>
        <v>-14724953612296</v>
      </c>
      <c r="R125" s="8">
        <f t="shared" si="9"/>
        <v>-1.2211279754493087</v>
      </c>
      <c r="S125" s="32">
        <v>3256090180872</v>
      </c>
      <c r="T125" s="8">
        <f t="shared" si="14"/>
        <v>28.811548260513302</v>
      </c>
    </row>
    <row r="126" spans="1:20" x14ac:dyDescent="0.35">
      <c r="A126" s="3">
        <v>39</v>
      </c>
      <c r="B126" s="4" t="s">
        <v>86</v>
      </c>
      <c r="C126" s="4">
        <v>2024</v>
      </c>
      <c r="D126" s="33">
        <v>43949153935</v>
      </c>
      <c r="E126" s="33">
        <f>16162*1112059643</f>
        <v>17973107950166</v>
      </c>
      <c r="F126" s="33">
        <f t="shared" si="11"/>
        <v>18017057104101</v>
      </c>
      <c r="G126" s="33">
        <f>16162*108994088</f>
        <v>1761562450256</v>
      </c>
      <c r="H126" s="45">
        <f>F126/G126</f>
        <v>10.22788439971723</v>
      </c>
      <c r="I126" s="27">
        <v>0.61111000000000004</v>
      </c>
      <c r="J126" s="3">
        <v>3</v>
      </c>
      <c r="K126" s="33">
        <f>16162*5100890</f>
        <v>82440584180</v>
      </c>
      <c r="L126" s="33">
        <v>1761562450256</v>
      </c>
      <c r="M126" s="33">
        <v>17973107950166</v>
      </c>
      <c r="N126" s="33">
        <v>1761562450256</v>
      </c>
      <c r="O126" s="27">
        <f t="shared" si="13"/>
        <v>10.249735132422961</v>
      </c>
      <c r="P126" s="33">
        <v>17973107950166</v>
      </c>
      <c r="Q126" s="33">
        <f>16162*-1003065555</f>
        <v>-16211545499910</v>
      </c>
      <c r="R126" s="9">
        <f t="shared" si="9"/>
        <v>-1.1086609817839872</v>
      </c>
      <c r="S126" s="33">
        <v>1761562450256</v>
      </c>
      <c r="T126" s="9">
        <f t="shared" si="14"/>
        <v>28.197222286983738</v>
      </c>
    </row>
    <row r="127" spans="1:20" x14ac:dyDescent="0.35">
      <c r="B127" s="1" t="s">
        <v>87</v>
      </c>
      <c r="C127" s="1">
        <v>2022</v>
      </c>
      <c r="F127" s="32"/>
      <c r="H127" s="44"/>
      <c r="J127" s="2">
        <v>3</v>
      </c>
      <c r="O127" s="26"/>
    </row>
    <row r="128" spans="1:20" x14ac:dyDescent="0.35">
      <c r="A128" s="2">
        <v>63</v>
      </c>
      <c r="B128" s="1" t="s">
        <v>87</v>
      </c>
      <c r="C128" s="1">
        <v>2023</v>
      </c>
      <c r="F128" s="32"/>
      <c r="H128" s="44"/>
      <c r="J128" s="2">
        <v>3</v>
      </c>
      <c r="O128" s="26"/>
    </row>
    <row r="129" spans="1:20" x14ac:dyDescent="0.35">
      <c r="A129" s="29">
        <v>63</v>
      </c>
      <c r="B129" s="4" t="s">
        <v>87</v>
      </c>
      <c r="C129" s="4">
        <v>2024</v>
      </c>
      <c r="D129" s="33"/>
      <c r="E129" s="33"/>
      <c r="F129" s="33"/>
      <c r="G129" s="33"/>
      <c r="H129" s="44"/>
      <c r="I129" s="27"/>
      <c r="J129" s="3">
        <v>3</v>
      </c>
      <c r="K129" s="33"/>
      <c r="L129" s="33"/>
      <c r="M129" s="33"/>
      <c r="N129" s="33"/>
      <c r="O129" s="27"/>
      <c r="P129" s="33"/>
      <c r="Q129" s="33"/>
      <c r="R129" s="9"/>
      <c r="S129" s="33"/>
    </row>
    <row r="130" spans="1:20" x14ac:dyDescent="0.35">
      <c r="B130" s="1" t="s">
        <v>88</v>
      </c>
      <c r="C130" s="1">
        <v>2022</v>
      </c>
      <c r="F130" s="32"/>
      <c r="H130" s="44"/>
      <c r="J130" s="2">
        <v>3</v>
      </c>
      <c r="O130" s="26"/>
    </row>
    <row r="131" spans="1:20" x14ac:dyDescent="0.35">
      <c r="B131" s="1" t="s">
        <v>88</v>
      </c>
      <c r="C131" s="1">
        <v>2023</v>
      </c>
      <c r="F131" s="32"/>
      <c r="H131" s="44"/>
      <c r="J131" s="2">
        <v>3</v>
      </c>
      <c r="O131" s="26"/>
    </row>
    <row r="132" spans="1:20" x14ac:dyDescent="0.35">
      <c r="A132" s="29"/>
      <c r="B132" s="4" t="s">
        <v>88</v>
      </c>
      <c r="C132" s="4">
        <v>2024</v>
      </c>
      <c r="D132" s="33"/>
      <c r="E132" s="33"/>
      <c r="F132" s="33"/>
      <c r="G132" s="33"/>
      <c r="H132" s="45"/>
      <c r="I132" s="27"/>
      <c r="J132" s="3">
        <v>3</v>
      </c>
      <c r="K132" s="33"/>
      <c r="L132" s="33"/>
      <c r="M132" s="33"/>
      <c r="N132" s="33"/>
      <c r="O132" s="27"/>
      <c r="P132" s="33"/>
      <c r="Q132" s="33"/>
      <c r="R132" s="9"/>
      <c r="S132" s="33"/>
      <c r="T132" s="9"/>
    </row>
    <row r="133" spans="1:20" x14ac:dyDescent="0.35">
      <c r="A133" s="40">
        <v>40</v>
      </c>
      <c r="B133" s="1" t="s">
        <v>168</v>
      </c>
      <c r="C133" s="1">
        <v>2022</v>
      </c>
      <c r="D133" s="32">
        <v>1258271823598</v>
      </c>
      <c r="E133" s="32">
        <v>301997266597</v>
      </c>
      <c r="F133" s="32">
        <f>D133+E133</f>
        <v>1560269090195</v>
      </c>
      <c r="G133" s="32">
        <v>2797005026270</v>
      </c>
      <c r="H133" s="46">
        <f>F133/G133</f>
        <v>0.55783564045851108</v>
      </c>
      <c r="I133" s="26">
        <v>0.72221999999999997</v>
      </c>
      <c r="J133" s="2">
        <v>3</v>
      </c>
      <c r="K133" s="32">
        <v>305620879456</v>
      </c>
      <c r="L133" s="32">
        <v>2797005026270</v>
      </c>
      <c r="M133" s="32">
        <v>301997266597</v>
      </c>
      <c r="N133" s="32">
        <v>2797005026270</v>
      </c>
      <c r="O133" s="26">
        <f t="shared" si="13"/>
        <v>0.21723884667568899</v>
      </c>
      <c r="P133" s="32">
        <v>301997266597</v>
      </c>
      <c r="Q133" s="32">
        <v>2495007759673</v>
      </c>
      <c r="R133" s="31">
        <f>P133/Q133</f>
        <v>0.12104061216890975</v>
      </c>
      <c r="S133" s="32">
        <v>2797005026270</v>
      </c>
      <c r="T133" s="31">
        <f>LN(S133)</f>
        <v>28.659570327168566</v>
      </c>
    </row>
    <row r="134" spans="1:20" x14ac:dyDescent="0.35">
      <c r="A134" s="40">
        <v>40</v>
      </c>
      <c r="B134" s="1" t="s">
        <v>168</v>
      </c>
      <c r="C134" s="1">
        <v>2023</v>
      </c>
      <c r="D134" s="32">
        <v>1354445466166</v>
      </c>
      <c r="E134" s="32">
        <v>381355701983</v>
      </c>
      <c r="F134" s="32">
        <f t="shared" ref="F134:F135" si="16">D134+E134</f>
        <v>1735801168149</v>
      </c>
      <c r="G134" s="32">
        <v>2976407140255</v>
      </c>
      <c r="H134" s="44">
        <f t="shared" ref="H134:H135" si="17">F134/G134</f>
        <v>0.58318673701350121</v>
      </c>
      <c r="I134" s="26">
        <v>0.72221999999999997</v>
      </c>
      <c r="J134" s="2">
        <v>3</v>
      </c>
      <c r="K134" s="32">
        <v>749524499011</v>
      </c>
      <c r="L134" s="32">
        <v>2976407140255</v>
      </c>
      <c r="M134" s="32">
        <v>381355701983</v>
      </c>
      <c r="N134" s="32">
        <v>2976407140255</v>
      </c>
      <c r="O134" s="26">
        <f t="shared" si="13"/>
        <v>0.37994808764539967</v>
      </c>
      <c r="P134" s="32">
        <v>381355701983</v>
      </c>
      <c r="Q134" s="32">
        <v>2595051438272</v>
      </c>
      <c r="R134" s="8">
        <f t="shared" ref="R134:R135" si="18">P134/Q134</f>
        <v>0.14695496835197155</v>
      </c>
      <c r="S134" s="32">
        <v>2976407140255</v>
      </c>
      <c r="T134" s="8">
        <f t="shared" ref="T134:T135" si="19">LN(S134)</f>
        <v>28.721738031423435</v>
      </c>
    </row>
    <row r="135" spans="1:20" x14ac:dyDescent="0.35">
      <c r="A135" s="41">
        <v>40</v>
      </c>
      <c r="B135" s="4" t="s">
        <v>168</v>
      </c>
      <c r="C135" s="4">
        <v>2024</v>
      </c>
      <c r="D135" s="33">
        <v>1562821691730</v>
      </c>
      <c r="E135" s="33">
        <v>333194743386</v>
      </c>
      <c r="F135" s="33">
        <f t="shared" si="16"/>
        <v>1896016435116</v>
      </c>
      <c r="G135" s="33">
        <v>3120121052477</v>
      </c>
      <c r="H135" s="45">
        <f t="shared" si="17"/>
        <v>0.60767399829272373</v>
      </c>
      <c r="I135" s="27">
        <v>0.72221999999999997</v>
      </c>
      <c r="J135" s="3">
        <v>3</v>
      </c>
      <c r="K135" s="33">
        <v>283689474829</v>
      </c>
      <c r="L135" s="33">
        <v>3120121052477</v>
      </c>
      <c r="M135" s="33">
        <v>333194743386</v>
      </c>
      <c r="N135" s="33">
        <v>3120121052477</v>
      </c>
      <c r="O135" s="27">
        <f t="shared" si="13"/>
        <v>0.19771162972195205</v>
      </c>
      <c r="P135" s="33">
        <v>333194743386</v>
      </c>
      <c r="Q135" s="33">
        <v>2786926309091</v>
      </c>
      <c r="R135" s="9">
        <f t="shared" si="18"/>
        <v>0.11955635220748866</v>
      </c>
      <c r="S135" s="33">
        <v>3120121052477</v>
      </c>
      <c r="T135" s="9">
        <f t="shared" si="19"/>
        <v>28.768892915868115</v>
      </c>
    </row>
    <row r="136" spans="1:20" x14ac:dyDescent="0.35">
      <c r="A136" s="2">
        <v>41</v>
      </c>
      <c r="B136" s="1" t="s">
        <v>138</v>
      </c>
      <c r="C136" s="1">
        <v>2022</v>
      </c>
      <c r="D136" s="32">
        <v>273280000000</v>
      </c>
      <c r="E136" s="32">
        <v>263944952156</v>
      </c>
      <c r="F136" s="32">
        <f t="shared" si="11"/>
        <v>537224952156</v>
      </c>
      <c r="G136" s="32">
        <v>1508596356369</v>
      </c>
      <c r="H136" s="44">
        <f t="shared" si="15"/>
        <v>0.35610914071742311</v>
      </c>
      <c r="I136" s="26">
        <v>0.61111000000000004</v>
      </c>
      <c r="J136" s="2">
        <v>3</v>
      </c>
      <c r="K136" s="32">
        <v>11661752737</v>
      </c>
      <c r="L136" s="32">
        <v>1508596356369</v>
      </c>
      <c r="M136" s="32">
        <v>263944952156</v>
      </c>
      <c r="N136" s="32">
        <v>1508596356369</v>
      </c>
      <c r="O136" s="26">
        <f>(K136/L136)+(M136/N136)</f>
        <v>0.18269081966786022</v>
      </c>
      <c r="P136" s="32">
        <v>263944952156</v>
      </c>
      <c r="Q136" s="32">
        <v>1244651404213</v>
      </c>
      <c r="R136" s="8">
        <f t="shared" si="9"/>
        <v>0.21206335465703657</v>
      </c>
      <c r="S136" s="32">
        <v>1508596356369</v>
      </c>
      <c r="T136" s="8">
        <f t="shared" si="14"/>
        <v>28.042200769123067</v>
      </c>
    </row>
    <row r="137" spans="1:20" x14ac:dyDescent="0.35">
      <c r="A137" s="2">
        <v>41</v>
      </c>
      <c r="B137" s="1" t="s">
        <v>138</v>
      </c>
      <c r="C137" s="1">
        <v>2023</v>
      </c>
      <c r="D137" s="32">
        <v>293440000000</v>
      </c>
      <c r="E137" s="32">
        <v>332693315665</v>
      </c>
      <c r="F137" s="32">
        <f t="shared" si="11"/>
        <v>626133315665</v>
      </c>
      <c r="G137" s="32">
        <v>1597442418776</v>
      </c>
      <c r="H137" s="44">
        <f t="shared" si="15"/>
        <v>0.39195986553603535</v>
      </c>
      <c r="I137" s="26">
        <v>0.61111000000000004</v>
      </c>
      <c r="J137" s="2">
        <v>3</v>
      </c>
      <c r="K137" s="32">
        <v>55065517280</v>
      </c>
      <c r="L137" s="32">
        <v>1597442418776</v>
      </c>
      <c r="M137" s="32">
        <v>332693315665</v>
      </c>
      <c r="N137" s="32">
        <v>1597442418776</v>
      </c>
      <c r="O137" s="26">
        <f t="shared" ref="O137:O144" si="20">(K137/L137)+(M137/N137)</f>
        <v>0.24273728328944114</v>
      </c>
      <c r="P137" s="32">
        <v>332693315665</v>
      </c>
      <c r="Q137" s="32">
        <v>1264749103111</v>
      </c>
      <c r="R137" s="8">
        <f t="shared" si="9"/>
        <v>0.26305084134604156</v>
      </c>
      <c r="S137" s="32">
        <v>1597442418776</v>
      </c>
      <c r="T137" s="8">
        <f t="shared" si="14"/>
        <v>28.099424977963817</v>
      </c>
    </row>
    <row r="138" spans="1:20" x14ac:dyDescent="0.35">
      <c r="A138" s="3">
        <v>41</v>
      </c>
      <c r="B138" s="4" t="s">
        <v>138</v>
      </c>
      <c r="C138" s="4">
        <v>2024</v>
      </c>
      <c r="D138" s="33">
        <v>1032640000000</v>
      </c>
      <c r="E138" s="33">
        <v>469346689838</v>
      </c>
      <c r="F138" s="33">
        <f t="shared" si="11"/>
        <v>1501986689838</v>
      </c>
      <c r="G138" s="33">
        <v>1891149003560</v>
      </c>
      <c r="H138" s="45">
        <f t="shared" si="15"/>
        <v>0.79421911600332917</v>
      </c>
      <c r="I138" s="27">
        <v>0.61111000000000004</v>
      </c>
      <c r="J138" s="3">
        <v>3</v>
      </c>
      <c r="K138" s="33">
        <v>18346987843</v>
      </c>
      <c r="L138" s="33">
        <v>1891149003560</v>
      </c>
      <c r="M138" s="33">
        <v>469346689838</v>
      </c>
      <c r="N138" s="33">
        <v>1891149003560</v>
      </c>
      <c r="O138" s="27">
        <f t="shared" si="20"/>
        <v>0.25788220640623205</v>
      </c>
      <c r="P138" s="33">
        <v>469346689838</v>
      </c>
      <c r="Q138" s="33">
        <v>1421802313722</v>
      </c>
      <c r="R138" s="9">
        <f t="shared" si="9"/>
        <v>0.33010685473520035</v>
      </c>
      <c r="S138" s="33">
        <v>1891149003560</v>
      </c>
      <c r="T138" s="9">
        <f t="shared" si="14"/>
        <v>28.268205698671952</v>
      </c>
    </row>
    <row r="139" spans="1:20" x14ac:dyDescent="0.35">
      <c r="A139" s="2">
        <v>42</v>
      </c>
      <c r="B139" s="1" t="s">
        <v>89</v>
      </c>
      <c r="C139" s="1">
        <v>2022</v>
      </c>
      <c r="D139" s="32">
        <v>577628760705</v>
      </c>
      <c r="E139" s="32">
        <v>1946850733366</v>
      </c>
      <c r="F139" s="32">
        <f t="shared" si="11"/>
        <v>2524479494071</v>
      </c>
      <c r="G139" s="32">
        <v>2665946796991</v>
      </c>
      <c r="H139" s="44">
        <f t="shared" si="15"/>
        <v>0.94693543656622436</v>
      </c>
      <c r="I139" s="26">
        <v>0.77778000000000003</v>
      </c>
      <c r="J139" s="2">
        <v>3</v>
      </c>
      <c r="K139" s="32">
        <v>202941497155</v>
      </c>
      <c r="L139" s="32">
        <v>2665946796991</v>
      </c>
      <c r="M139" s="32">
        <v>1946850733366</v>
      </c>
      <c r="N139" s="32">
        <v>2665946796991</v>
      </c>
      <c r="O139" s="26">
        <f t="shared" si="20"/>
        <v>0.80638977227431052</v>
      </c>
      <c r="P139" s="32">
        <v>1946850733366</v>
      </c>
      <c r="Q139" s="32">
        <v>719096063625</v>
      </c>
      <c r="R139" s="8">
        <f t="shared" si="9"/>
        <v>2.7073583514722999</v>
      </c>
      <c r="S139" s="32">
        <v>2665946796991</v>
      </c>
      <c r="T139" s="8">
        <f t="shared" si="14"/>
        <v>28.611580381368533</v>
      </c>
    </row>
    <row r="140" spans="1:20" x14ac:dyDescent="0.35">
      <c r="A140" s="2">
        <v>42</v>
      </c>
      <c r="B140" s="1" t="s">
        <v>89</v>
      </c>
      <c r="C140" s="1">
        <v>2023</v>
      </c>
      <c r="D140" s="32">
        <v>914232570900</v>
      </c>
      <c r="E140" s="32">
        <v>1887266483419</v>
      </c>
      <c r="F140" s="32">
        <f t="shared" si="11"/>
        <v>2801499054319</v>
      </c>
      <c r="G140" s="32">
        <v>2623144891155</v>
      </c>
      <c r="H140" s="44">
        <f t="shared" si="15"/>
        <v>1.0679924939584517</v>
      </c>
      <c r="I140" s="26">
        <v>0.77778000000000003</v>
      </c>
      <c r="J140" s="2">
        <v>3</v>
      </c>
      <c r="K140" s="32">
        <v>234737156111</v>
      </c>
      <c r="L140" s="32">
        <v>2623144891155</v>
      </c>
      <c r="M140" s="32">
        <v>1887266483419</v>
      </c>
      <c r="N140" s="32">
        <v>2623144891155</v>
      </c>
      <c r="O140" s="26">
        <f t="shared" si="20"/>
        <v>0.80895403326182957</v>
      </c>
      <c r="P140" s="32">
        <v>1887266483419</v>
      </c>
      <c r="Q140" s="32">
        <v>735878407736</v>
      </c>
      <c r="R140" s="8">
        <f t="shared" si="9"/>
        <v>2.5646444624260072</v>
      </c>
      <c r="S140" s="32">
        <v>2623144891155</v>
      </c>
      <c r="T140" s="8">
        <f t="shared" si="14"/>
        <v>28.595395054004801</v>
      </c>
    </row>
    <row r="141" spans="1:20" x14ac:dyDescent="0.35">
      <c r="A141" s="3">
        <v>42</v>
      </c>
      <c r="B141" s="4" t="s">
        <v>89</v>
      </c>
      <c r="C141" s="4">
        <v>2024</v>
      </c>
      <c r="D141" s="33">
        <v>955788596850</v>
      </c>
      <c r="E141" s="33">
        <v>1184890279314</v>
      </c>
      <c r="F141" s="33">
        <f t="shared" si="11"/>
        <v>2140678876164</v>
      </c>
      <c r="G141" s="33">
        <v>1833424147167</v>
      </c>
      <c r="H141" s="45">
        <f t="shared" si="15"/>
        <v>1.1675851872420078</v>
      </c>
      <c r="I141" s="27">
        <v>0.77778000000000003</v>
      </c>
      <c r="J141" s="3">
        <v>3</v>
      </c>
      <c r="K141" s="33">
        <v>273362762897</v>
      </c>
      <c r="L141" s="33">
        <v>1833424147167</v>
      </c>
      <c r="M141" s="33">
        <v>1184890279314</v>
      </c>
      <c r="N141" s="33">
        <v>1833424147167</v>
      </c>
      <c r="O141" s="27">
        <f t="shared" si="20"/>
        <v>0.79537135172146989</v>
      </c>
      <c r="P141" s="33">
        <v>1184890279314</v>
      </c>
      <c r="Q141" s="33">
        <v>648533867853</v>
      </c>
      <c r="R141" s="9">
        <f t="shared" si="9"/>
        <v>1.8270291468919451</v>
      </c>
      <c r="S141" s="33">
        <v>1833424147167</v>
      </c>
      <c r="T141" s="9">
        <f t="shared" si="14"/>
        <v>28.237206453090419</v>
      </c>
    </row>
    <row r="142" spans="1:20" x14ac:dyDescent="0.35">
      <c r="A142" s="2">
        <v>43</v>
      </c>
      <c r="B142" s="42" t="s">
        <v>153</v>
      </c>
      <c r="C142" s="1">
        <v>2022</v>
      </c>
      <c r="D142" s="32">
        <v>1020354048000</v>
      </c>
      <c r="E142" s="32">
        <f>15731*47945353</f>
        <v>754228348043</v>
      </c>
      <c r="F142" s="32">
        <f t="shared" si="11"/>
        <v>1774582396043</v>
      </c>
      <c r="G142" s="32">
        <f>15731*147616234</f>
        <v>2322150977054</v>
      </c>
      <c r="H142" s="44">
        <f t="shared" si="15"/>
        <v>0.7641976829147975</v>
      </c>
      <c r="I142" s="26">
        <v>0.55556000000000005</v>
      </c>
      <c r="J142" s="2">
        <v>3</v>
      </c>
      <c r="K142" s="32">
        <f>15731*13790373</f>
        <v>216936357663</v>
      </c>
      <c r="L142" s="32">
        <v>2322150977054</v>
      </c>
      <c r="M142" s="32">
        <v>754228348043</v>
      </c>
      <c r="N142" s="32">
        <v>2322150977054</v>
      </c>
      <c r="O142" s="26">
        <f t="shared" si="20"/>
        <v>0.4182177280040893</v>
      </c>
      <c r="P142" s="32">
        <v>754228343043</v>
      </c>
      <c r="Q142" s="32">
        <f>15731*99670881</f>
        <v>1567922629011</v>
      </c>
      <c r="R142" s="8">
        <f t="shared" si="9"/>
        <v>0.48103671003125026</v>
      </c>
      <c r="S142" s="32">
        <v>2322150977054</v>
      </c>
      <c r="T142" s="8">
        <f t="shared" si="14"/>
        <v>28.473515017354948</v>
      </c>
    </row>
    <row r="143" spans="1:20" x14ac:dyDescent="0.35">
      <c r="A143" s="2">
        <v>43</v>
      </c>
      <c r="B143" s="1" t="s">
        <v>153</v>
      </c>
      <c r="C143" s="1">
        <v>2023</v>
      </c>
      <c r="D143" s="32">
        <v>1296699936000</v>
      </c>
      <c r="E143" s="32">
        <f>15416*43261335</f>
        <v>666916740360</v>
      </c>
      <c r="F143" s="32">
        <f t="shared" si="11"/>
        <v>1963616676360</v>
      </c>
      <c r="G143" s="32">
        <f>15416*152134921</f>
        <v>2345311942136</v>
      </c>
      <c r="H143" s="44">
        <f t="shared" si="15"/>
        <v>0.83725181332238052</v>
      </c>
      <c r="I143" s="26">
        <v>0.66666999999999998</v>
      </c>
      <c r="J143" s="2">
        <v>3</v>
      </c>
      <c r="K143" s="32">
        <f>15416*18616778</f>
        <v>286996249648</v>
      </c>
      <c r="L143" s="32">
        <v>2345311942136</v>
      </c>
      <c r="M143" s="32">
        <v>666916740360</v>
      </c>
      <c r="N143" s="32">
        <v>2345311942136</v>
      </c>
      <c r="O143" s="26">
        <f t="shared" si="20"/>
        <v>0.40673181800252156</v>
      </c>
      <c r="P143" s="32">
        <v>666916740360</v>
      </c>
      <c r="Q143" s="32">
        <f>15416*108873586</f>
        <v>1678395201776</v>
      </c>
      <c r="R143" s="8">
        <f t="shared" si="9"/>
        <v>0.39735381729779712</v>
      </c>
      <c r="S143" s="32">
        <v>2345311942136</v>
      </c>
      <c r="T143" s="8">
        <f t="shared" si="14"/>
        <v>28.483439533344868</v>
      </c>
    </row>
    <row r="144" spans="1:20" x14ac:dyDescent="0.35">
      <c r="A144" s="3">
        <v>43</v>
      </c>
      <c r="B144" s="4" t="s">
        <v>153</v>
      </c>
      <c r="C144" s="4">
        <v>2024</v>
      </c>
      <c r="D144" s="33">
        <v>1046925768000</v>
      </c>
      <c r="E144" s="33">
        <f>16162*41065424</f>
        <v>663699382688</v>
      </c>
      <c r="F144" s="33">
        <f t="shared" si="11"/>
        <v>1710625150688</v>
      </c>
      <c r="G144" s="33">
        <f>16162*156223047</f>
        <v>2524876885614</v>
      </c>
      <c r="H144" s="45">
        <f t="shared" si="15"/>
        <v>0.67750834127185966</v>
      </c>
      <c r="I144" s="27">
        <v>0.72221999999999997</v>
      </c>
      <c r="J144" s="3">
        <v>3</v>
      </c>
      <c r="K144" s="33">
        <f>16162*22911386</f>
        <v>370293820532</v>
      </c>
      <c r="L144" s="33">
        <v>2524876885614</v>
      </c>
      <c r="M144" s="33">
        <v>663699382688</v>
      </c>
      <c r="N144" s="33">
        <v>1524876885614</v>
      </c>
      <c r="O144" s="27">
        <f t="shared" si="20"/>
        <v>0.5819060166591189</v>
      </c>
      <c r="P144" s="33">
        <v>663699382688</v>
      </c>
      <c r="Q144" s="33">
        <f>16162*115157623</f>
        <v>1861177502926</v>
      </c>
      <c r="R144" s="9">
        <f t="shared" si="9"/>
        <v>0.35660187254820291</v>
      </c>
      <c r="S144" s="33">
        <v>1524876885614</v>
      </c>
      <c r="T144" s="9">
        <f t="shared" si="14"/>
        <v>28.052934791984104</v>
      </c>
    </row>
    <row r="145" spans="1:20" x14ac:dyDescent="0.35">
      <c r="A145" s="1"/>
      <c r="B145" s="2" t="s">
        <v>90</v>
      </c>
      <c r="H145" s="44"/>
    </row>
    <row r="146" spans="1:20" x14ac:dyDescent="0.35">
      <c r="H146" s="44"/>
    </row>
    <row r="147" spans="1:20" x14ac:dyDescent="0.35">
      <c r="A147" s="2">
        <v>44</v>
      </c>
      <c r="B147" s="1" t="s">
        <v>91</v>
      </c>
      <c r="C147" s="1">
        <v>2022</v>
      </c>
      <c r="D147" s="32">
        <v>4262004380000</v>
      </c>
      <c r="E147" s="32">
        <v>310746000000</v>
      </c>
      <c r="F147" s="32">
        <f>D147+E147</f>
        <v>4572750380000</v>
      </c>
      <c r="G147" s="32">
        <v>1645582000000</v>
      </c>
      <c r="H147" s="44">
        <f t="shared" si="15"/>
        <v>2.77880432576438</v>
      </c>
      <c r="I147" s="26">
        <v>0.66666999999999998</v>
      </c>
      <c r="J147" s="2">
        <v>3</v>
      </c>
      <c r="K147" s="32">
        <v>377722000000</v>
      </c>
      <c r="L147" s="32">
        <v>1645582000000</v>
      </c>
      <c r="M147" s="32">
        <v>310746000000</v>
      </c>
      <c r="N147" s="32">
        <v>1645582000000</v>
      </c>
      <c r="O147" s="26">
        <f>(K147/L147)+(M147/N147)</f>
        <v>0.4183735602358315</v>
      </c>
      <c r="P147" s="32">
        <v>310746000000</v>
      </c>
      <c r="Q147" s="32">
        <v>1334836000000</v>
      </c>
      <c r="R147" s="8">
        <f t="shared" ref="R147:R215" si="21">P147/Q147</f>
        <v>0.23279713762589563</v>
      </c>
      <c r="S147" s="32">
        <v>1645582000000</v>
      </c>
      <c r="T147" s="8">
        <f>LN(S147)</f>
        <v>28.129115236965735</v>
      </c>
    </row>
    <row r="148" spans="1:20" x14ac:dyDescent="0.35">
      <c r="A148" s="2">
        <v>44</v>
      </c>
      <c r="B148" s="1" t="s">
        <v>91</v>
      </c>
      <c r="C148" s="1">
        <v>2023</v>
      </c>
      <c r="D148" s="32">
        <v>5707251540000</v>
      </c>
      <c r="E148" s="32">
        <v>355374000000</v>
      </c>
      <c r="F148" s="32">
        <f t="shared" ref="F148:F215" si="22">D148+E148</f>
        <v>6062625540000</v>
      </c>
      <c r="G148" s="32">
        <v>2085182000000</v>
      </c>
      <c r="H148" s="44">
        <f t="shared" si="15"/>
        <v>2.9074802775009569</v>
      </c>
      <c r="I148" s="26">
        <v>0.66666999999999998</v>
      </c>
      <c r="J148" s="2">
        <v>3</v>
      </c>
      <c r="K148" s="32">
        <v>753508000000</v>
      </c>
      <c r="L148" s="32">
        <v>2085182000000</v>
      </c>
      <c r="M148" s="32">
        <v>355374000000</v>
      </c>
      <c r="N148" s="32">
        <v>2085182000000</v>
      </c>
      <c r="O148" s="26">
        <f t="shared" ref="O148:O191" si="23">(K148/L148)+(M148/N148)</f>
        <v>0.53179146952160528</v>
      </c>
      <c r="P148" s="32">
        <v>355374000000</v>
      </c>
      <c r="Q148" s="32">
        <v>1729808000000</v>
      </c>
      <c r="R148" s="8">
        <f t="shared" si="21"/>
        <v>0.2054412975312867</v>
      </c>
      <c r="S148" s="32">
        <v>2085182000000</v>
      </c>
      <c r="T148" s="8">
        <f t="shared" ref="T148:T191" si="24">LN(S148)</f>
        <v>28.365877257537612</v>
      </c>
    </row>
    <row r="149" spans="1:20" x14ac:dyDescent="0.35">
      <c r="A149" s="3">
        <v>44</v>
      </c>
      <c r="B149" s="4" t="s">
        <v>91</v>
      </c>
      <c r="C149" s="4">
        <v>2024</v>
      </c>
      <c r="D149" s="33">
        <v>5368060880000</v>
      </c>
      <c r="E149" s="33">
        <v>438373000000</v>
      </c>
      <c r="F149" s="33">
        <f t="shared" si="22"/>
        <v>5806433880000</v>
      </c>
      <c r="G149" s="33">
        <v>2696874000000</v>
      </c>
      <c r="H149" s="45">
        <f t="shared" si="15"/>
        <v>2.1530237897654843</v>
      </c>
      <c r="I149" s="27">
        <v>0.72221999999999997</v>
      </c>
      <c r="J149" s="3">
        <v>3</v>
      </c>
      <c r="K149" s="33">
        <v>858294000000</v>
      </c>
      <c r="L149" s="33">
        <v>2696874000000</v>
      </c>
      <c r="M149" s="33">
        <v>438373000000</v>
      </c>
      <c r="N149" s="33">
        <v>2696874000000</v>
      </c>
      <c r="O149" s="27">
        <f t="shared" si="23"/>
        <v>0.48080370087738622</v>
      </c>
      <c r="P149" s="33">
        <v>438373000000</v>
      </c>
      <c r="Q149" s="33">
        <v>2258501000000</v>
      </c>
      <c r="R149" s="9">
        <f t="shared" si="21"/>
        <v>0.19409909493066418</v>
      </c>
      <c r="S149" s="33">
        <v>2696874000000</v>
      </c>
      <c r="T149" s="9">
        <f t="shared" si="24"/>
        <v>28.6231144404186</v>
      </c>
    </row>
    <row r="150" spans="1:20" x14ac:dyDescent="0.35">
      <c r="A150" s="2">
        <v>45</v>
      </c>
      <c r="B150" s="1" t="s">
        <v>92</v>
      </c>
      <c r="C150" s="1">
        <v>2022</v>
      </c>
      <c r="D150" s="32">
        <v>1322275600000</v>
      </c>
      <c r="E150" s="32">
        <v>1048489000000</v>
      </c>
      <c r="F150" s="32">
        <f t="shared" si="22"/>
        <v>2370764600000</v>
      </c>
      <c r="G150" s="32">
        <v>1826350000000</v>
      </c>
      <c r="H150" s="44">
        <f t="shared" si="15"/>
        <v>1.2980888657705258</v>
      </c>
      <c r="I150" s="26">
        <v>0.66666999999999998</v>
      </c>
      <c r="J150" s="2">
        <v>3</v>
      </c>
      <c r="K150" s="32">
        <v>558960000000</v>
      </c>
      <c r="L150" s="32">
        <v>1826350000000</v>
      </c>
      <c r="M150" s="32">
        <v>1048489000000</v>
      </c>
      <c r="N150" s="32">
        <v>1826350000000</v>
      </c>
      <c r="O150" s="26">
        <f t="shared" si="23"/>
        <v>0.88014290798587347</v>
      </c>
      <c r="P150" s="32">
        <v>1048489000000</v>
      </c>
      <c r="Q150" s="32">
        <v>777861000000</v>
      </c>
      <c r="R150" s="8">
        <f t="shared" si="21"/>
        <v>1.347913059016971</v>
      </c>
      <c r="S150" s="32">
        <v>1826350000000</v>
      </c>
      <c r="T150" s="8">
        <f t="shared" si="24"/>
        <v>28.233340555527953</v>
      </c>
    </row>
    <row r="151" spans="1:20" x14ac:dyDescent="0.35">
      <c r="A151" s="2">
        <v>45</v>
      </c>
      <c r="B151" s="1" t="s">
        <v>92</v>
      </c>
      <c r="C151" s="1">
        <v>2023</v>
      </c>
      <c r="D151" s="32">
        <v>337210925700</v>
      </c>
      <c r="E151" s="32">
        <v>881806000000</v>
      </c>
      <c r="F151" s="32">
        <f t="shared" si="22"/>
        <v>1219016925700</v>
      </c>
      <c r="G151" s="32">
        <v>1850004000000</v>
      </c>
      <c r="H151" s="44">
        <f t="shared" si="15"/>
        <v>0.6589266432396903</v>
      </c>
      <c r="I151" s="26">
        <v>0.66666999999999998</v>
      </c>
      <c r="J151" s="2">
        <v>3</v>
      </c>
      <c r="K151" s="32">
        <v>62526000000</v>
      </c>
      <c r="L151" s="32">
        <v>1850004000000</v>
      </c>
      <c r="M151" s="32">
        <v>881806000000</v>
      </c>
      <c r="N151" s="32">
        <v>1850004000000</v>
      </c>
      <c r="O151" s="26">
        <f t="shared" si="23"/>
        <v>0.51044862605702479</v>
      </c>
      <c r="P151" s="32">
        <v>881806000000</v>
      </c>
      <c r="Q151" s="32">
        <v>2256214000000</v>
      </c>
      <c r="R151" s="8">
        <f t="shared" si="21"/>
        <v>0.39083438007210308</v>
      </c>
      <c r="S151" s="32">
        <v>1850004000000</v>
      </c>
      <c r="T151" s="8">
        <f t="shared" si="24"/>
        <v>28.246208917178606</v>
      </c>
    </row>
    <row r="152" spans="1:20" x14ac:dyDescent="0.35">
      <c r="A152" s="3">
        <v>45</v>
      </c>
      <c r="B152" s="4" t="s">
        <v>92</v>
      </c>
      <c r="C152" s="4">
        <v>2024</v>
      </c>
      <c r="D152" s="33">
        <v>977739000000</v>
      </c>
      <c r="E152" s="33">
        <v>918034000000</v>
      </c>
      <c r="F152" s="33">
        <f t="shared" si="22"/>
        <v>1895773000000</v>
      </c>
      <c r="G152" s="33">
        <v>1964172000000</v>
      </c>
      <c r="H152" s="45">
        <f t="shared" si="15"/>
        <v>0.96517667495514647</v>
      </c>
      <c r="I152" s="27">
        <v>0.61111000000000004</v>
      </c>
      <c r="J152" s="3">
        <v>3</v>
      </c>
      <c r="K152" s="33">
        <v>222847000000</v>
      </c>
      <c r="L152" s="33">
        <v>1964172000000</v>
      </c>
      <c r="M152" s="33">
        <v>918034000000</v>
      </c>
      <c r="N152" s="33">
        <v>1964172000000</v>
      </c>
      <c r="O152" s="27">
        <f t="shared" si="23"/>
        <v>0.5808457711442786</v>
      </c>
      <c r="P152" s="33">
        <v>918034000000</v>
      </c>
      <c r="Q152" s="33">
        <v>2347365000000</v>
      </c>
      <c r="R152" s="9">
        <f t="shared" si="21"/>
        <v>0.39109128746488081</v>
      </c>
      <c r="S152" s="33">
        <v>1964172000000</v>
      </c>
      <c r="T152" s="9">
        <f t="shared" si="24"/>
        <v>28.306091898400982</v>
      </c>
    </row>
    <row r="153" spans="1:20" x14ac:dyDescent="0.35">
      <c r="A153" s="2">
        <v>46</v>
      </c>
      <c r="B153" s="1" t="s">
        <v>93</v>
      </c>
      <c r="C153" s="1">
        <v>2022</v>
      </c>
      <c r="D153" s="32">
        <v>11409457310000</v>
      </c>
      <c r="E153" s="32">
        <v>1726614000000</v>
      </c>
      <c r="F153" s="32">
        <f t="shared" si="22"/>
        <v>13136071310000</v>
      </c>
      <c r="G153" s="32">
        <v>3173651000000</v>
      </c>
      <c r="H153" s="44">
        <f t="shared" si="15"/>
        <v>4.1391039247856805</v>
      </c>
      <c r="I153" s="26">
        <v>0.61111000000000004</v>
      </c>
      <c r="J153" s="2">
        <v>3</v>
      </c>
      <c r="K153" s="32">
        <v>65385000000</v>
      </c>
      <c r="L153" s="32">
        <v>3173651000000</v>
      </c>
      <c r="M153" s="32">
        <v>1726614000000</v>
      </c>
      <c r="N153" s="32">
        <v>3173651000000</v>
      </c>
      <c r="O153" s="26">
        <f t="shared" si="23"/>
        <v>0.56464904301071539</v>
      </c>
      <c r="P153" s="32">
        <v>1726614000000</v>
      </c>
      <c r="Q153" s="32">
        <v>1445037000000</v>
      </c>
      <c r="R153" s="8">
        <f t="shared" si="21"/>
        <v>1.1948579863352979</v>
      </c>
      <c r="S153" s="32">
        <v>3173651000000</v>
      </c>
      <c r="T153" s="8">
        <f t="shared" si="24"/>
        <v>28.785903776095555</v>
      </c>
    </row>
    <row r="154" spans="1:20" x14ac:dyDescent="0.35">
      <c r="A154" s="2">
        <v>46</v>
      </c>
      <c r="B154" s="1" t="s">
        <v>93</v>
      </c>
      <c r="C154" s="1">
        <v>2023</v>
      </c>
      <c r="D154" s="32">
        <v>12615188603000</v>
      </c>
      <c r="E154" s="32">
        <v>1736519000000</v>
      </c>
      <c r="F154" s="32">
        <f t="shared" si="22"/>
        <v>14351707603000</v>
      </c>
      <c r="G154" s="32">
        <v>3327846000000</v>
      </c>
      <c r="H154" s="44">
        <f t="shared" si="15"/>
        <v>4.3126117022843005</v>
      </c>
      <c r="I154" s="26">
        <v>0.61111000000000004</v>
      </c>
      <c r="J154" s="2">
        <v>3</v>
      </c>
      <c r="K154" s="32">
        <v>116500000000</v>
      </c>
      <c r="L154" s="32">
        <v>3327846000000</v>
      </c>
      <c r="M154" s="32">
        <v>1736519000000</v>
      </c>
      <c r="N154" s="32">
        <v>3327846000000</v>
      </c>
      <c r="O154" s="26">
        <f t="shared" si="23"/>
        <v>0.55682234093765159</v>
      </c>
      <c r="P154" s="32">
        <v>1736519000000</v>
      </c>
      <c r="Q154" s="32">
        <v>1591327000000</v>
      </c>
      <c r="R154" s="8">
        <f t="shared" si="21"/>
        <v>1.0912395755240751</v>
      </c>
      <c r="S154" s="32">
        <v>3327846000000</v>
      </c>
      <c r="T154" s="8">
        <f t="shared" si="24"/>
        <v>28.833346363778372</v>
      </c>
    </row>
    <row r="155" spans="1:20" x14ac:dyDescent="0.35">
      <c r="A155" s="3">
        <v>46</v>
      </c>
      <c r="B155" s="4" t="s">
        <v>93</v>
      </c>
      <c r="C155" s="4">
        <v>2024</v>
      </c>
      <c r="D155" s="33">
        <v>13541982060000</v>
      </c>
      <c r="E155" s="33">
        <v>2197787000000</v>
      </c>
      <c r="F155" s="33">
        <f t="shared" si="22"/>
        <v>15739769060000</v>
      </c>
      <c r="G155" s="33">
        <v>3817011000000</v>
      </c>
      <c r="H155" s="45">
        <f t="shared" si="15"/>
        <v>4.1235849359616727</v>
      </c>
      <c r="I155" s="27">
        <v>0.66666999999999998</v>
      </c>
      <c r="J155" s="3">
        <v>3</v>
      </c>
      <c r="K155" s="33">
        <v>74006000000</v>
      </c>
      <c r="L155" s="33">
        <v>3817011000000</v>
      </c>
      <c r="M155" s="33">
        <v>2197787000000</v>
      </c>
      <c r="N155" s="33">
        <v>3817011000000</v>
      </c>
      <c r="O155" s="27">
        <f t="shared" si="23"/>
        <v>0.59517591120381885</v>
      </c>
      <c r="P155" s="33">
        <v>2197787000000</v>
      </c>
      <c r="Q155" s="33">
        <v>1619224000000</v>
      </c>
      <c r="R155" s="9">
        <f t="shared" si="21"/>
        <v>1.3573088096520309</v>
      </c>
      <c r="S155" s="33">
        <v>3817011000000</v>
      </c>
      <c r="T155" s="9">
        <f t="shared" si="24"/>
        <v>28.970488771531869</v>
      </c>
    </row>
    <row r="156" spans="1:20" x14ac:dyDescent="0.35">
      <c r="A156" s="2">
        <v>47</v>
      </c>
      <c r="B156" s="1" t="s">
        <v>94</v>
      </c>
      <c r="C156" s="1">
        <v>2022</v>
      </c>
      <c r="D156" s="32">
        <v>1800810000000</v>
      </c>
      <c r="E156" s="32">
        <v>133323429397</v>
      </c>
      <c r="F156" s="32">
        <f t="shared" si="22"/>
        <v>1934133429397</v>
      </c>
      <c r="G156" s="32">
        <v>1074777460412</v>
      </c>
      <c r="H156" s="44">
        <f t="shared" si="15"/>
        <v>1.7995664224811512</v>
      </c>
      <c r="I156" s="26">
        <v>0.66666999999999998</v>
      </c>
      <c r="J156" s="2">
        <v>3</v>
      </c>
      <c r="K156" s="32">
        <v>506458110482</v>
      </c>
      <c r="L156" s="32">
        <v>1074777460412</v>
      </c>
      <c r="M156" s="32">
        <v>133323429397</v>
      </c>
      <c r="N156" s="32">
        <v>1074777460412</v>
      </c>
      <c r="O156" s="26">
        <f t="shared" si="23"/>
        <v>0.59526884722140461</v>
      </c>
      <c r="P156" s="32">
        <v>133323429397</v>
      </c>
      <c r="Q156" s="32">
        <v>941454031015</v>
      </c>
      <c r="R156" s="8">
        <f t="shared" si="21"/>
        <v>0.1416143805271739</v>
      </c>
      <c r="S156" s="32">
        <v>1074777460412</v>
      </c>
      <c r="T156" s="8">
        <f t="shared" si="24"/>
        <v>27.703134742507675</v>
      </c>
    </row>
    <row r="157" spans="1:20" x14ac:dyDescent="0.35">
      <c r="A157" s="2">
        <v>47</v>
      </c>
      <c r="B157" s="1" t="s">
        <v>94</v>
      </c>
      <c r="C157" s="1">
        <v>2023</v>
      </c>
      <c r="D157" s="32">
        <v>2365770000000</v>
      </c>
      <c r="E157" s="32">
        <v>136086922155</v>
      </c>
      <c r="F157" s="32">
        <f t="shared" si="22"/>
        <v>2501856922155</v>
      </c>
      <c r="G157" s="32">
        <v>1088726193209</v>
      </c>
      <c r="H157" s="44">
        <f t="shared" si="15"/>
        <v>2.2979670533881653</v>
      </c>
      <c r="I157" s="26">
        <v>0.66666999999999998</v>
      </c>
      <c r="J157" s="2">
        <v>3</v>
      </c>
      <c r="K157" s="32">
        <v>247666678448</v>
      </c>
      <c r="L157" s="32">
        <v>1088726193209</v>
      </c>
      <c r="M157" s="32">
        <v>136086922155</v>
      </c>
      <c r="N157" s="32">
        <v>1088726193209</v>
      </c>
      <c r="O157" s="26">
        <f t="shared" si="23"/>
        <v>0.35247944156821787</v>
      </c>
      <c r="P157" s="32">
        <v>136086922155</v>
      </c>
      <c r="Q157" s="32">
        <v>952639271054</v>
      </c>
      <c r="R157" s="8">
        <f t="shared" si="21"/>
        <v>0.14285252171520646</v>
      </c>
      <c r="S157" s="32">
        <v>1088726193209</v>
      </c>
      <c r="T157" s="8">
        <f t="shared" si="24"/>
        <v>27.716029498705513</v>
      </c>
    </row>
    <row r="158" spans="1:20" x14ac:dyDescent="0.35">
      <c r="A158" s="3">
        <v>47</v>
      </c>
      <c r="B158" s="4" t="s">
        <v>94</v>
      </c>
      <c r="C158" s="4">
        <v>2024</v>
      </c>
      <c r="D158" s="33">
        <v>1506560000000</v>
      </c>
      <c r="E158" s="33">
        <v>148194431953</v>
      </c>
      <c r="F158" s="33">
        <f t="shared" si="22"/>
        <v>1654754431953</v>
      </c>
      <c r="G158" s="33">
        <v>1083173624632</v>
      </c>
      <c r="H158" s="45">
        <f t="shared" si="15"/>
        <v>1.5276908468992589</v>
      </c>
      <c r="I158" s="27">
        <v>0.66666999999999998</v>
      </c>
      <c r="J158" s="3">
        <v>3</v>
      </c>
      <c r="K158" s="33">
        <v>150885247394</v>
      </c>
      <c r="L158" s="33">
        <v>1083173624632</v>
      </c>
      <c r="M158" s="33">
        <v>148194431953</v>
      </c>
      <c r="N158" s="33">
        <v>1083173624632</v>
      </c>
      <c r="O158" s="27">
        <f t="shared" si="23"/>
        <v>0.27611425587343863</v>
      </c>
      <c r="P158" s="33">
        <v>148194431953</v>
      </c>
      <c r="Q158" s="33">
        <v>934979192879</v>
      </c>
      <c r="R158" s="9">
        <f t="shared" si="21"/>
        <v>0.15850024586822919</v>
      </c>
      <c r="S158" s="33">
        <v>1083173624632</v>
      </c>
      <c r="T158" s="9">
        <f t="shared" si="24"/>
        <v>27.710916389317568</v>
      </c>
    </row>
    <row r="159" spans="1:20" x14ac:dyDescent="0.35">
      <c r="A159" s="2">
        <v>48</v>
      </c>
      <c r="B159" s="1" t="s">
        <v>95</v>
      </c>
      <c r="C159" s="1">
        <v>2022</v>
      </c>
      <c r="D159" s="32">
        <v>3066524161500</v>
      </c>
      <c r="E159" s="32">
        <v>306410502000</v>
      </c>
      <c r="F159" s="32">
        <f t="shared" si="22"/>
        <v>3372934663500</v>
      </c>
      <c r="G159" s="32">
        <v>1307186367000</v>
      </c>
      <c r="H159" s="44">
        <f t="shared" si="15"/>
        <v>2.5803012857614971</v>
      </c>
      <c r="I159" s="26">
        <v>0.61111000000000004</v>
      </c>
      <c r="J159" s="2">
        <v>3</v>
      </c>
      <c r="K159" s="32">
        <v>748590604000</v>
      </c>
      <c r="L159" s="32">
        <v>1307186367000</v>
      </c>
      <c r="M159" s="32">
        <v>306410502000</v>
      </c>
      <c r="N159" s="32">
        <v>1307186367000</v>
      </c>
      <c r="O159" s="26">
        <f t="shared" si="23"/>
        <v>0.80707780667972651</v>
      </c>
      <c r="P159" s="32">
        <v>306410502000</v>
      </c>
      <c r="Q159" s="32">
        <v>1000775865000</v>
      </c>
      <c r="R159" s="8">
        <f t="shared" si="21"/>
        <v>0.30617295312172621</v>
      </c>
      <c r="S159" s="32">
        <v>1307186367000</v>
      </c>
      <c r="T159" s="8">
        <f t="shared" si="24"/>
        <v>27.898898131836198</v>
      </c>
    </row>
    <row r="160" spans="1:20" x14ac:dyDescent="0.35">
      <c r="A160" s="2">
        <v>48</v>
      </c>
      <c r="B160" s="1" t="s">
        <v>95</v>
      </c>
      <c r="C160" s="1">
        <v>2023</v>
      </c>
      <c r="D160" s="32">
        <v>2826326446500</v>
      </c>
      <c r="E160" s="32">
        <v>273635750000</v>
      </c>
      <c r="F160" s="32">
        <f t="shared" si="22"/>
        <v>3099962196500</v>
      </c>
      <c r="G160" s="32">
        <v>1208050010000</v>
      </c>
      <c r="H160" s="44">
        <f t="shared" si="15"/>
        <v>2.5660876377957234</v>
      </c>
      <c r="I160" s="26">
        <v>0.61111000000000004</v>
      </c>
      <c r="J160" s="2">
        <v>4</v>
      </c>
      <c r="K160" s="32">
        <v>612103346000</v>
      </c>
      <c r="L160" s="32">
        <v>1208050010000</v>
      </c>
      <c r="M160" s="32">
        <v>273635750000</v>
      </c>
      <c r="N160" s="32">
        <v>1208050010000</v>
      </c>
      <c r="O160" s="26">
        <f t="shared" si="23"/>
        <v>0.73319737483384484</v>
      </c>
      <c r="P160" s="32">
        <v>273635750000</v>
      </c>
      <c r="Q160" s="32">
        <v>934414260000</v>
      </c>
      <c r="R160" s="8">
        <f t="shared" si="21"/>
        <v>0.2928420099239496</v>
      </c>
      <c r="S160" s="32">
        <v>1208050010000</v>
      </c>
      <c r="T160" s="8">
        <f t="shared" si="24"/>
        <v>27.820028613590878</v>
      </c>
    </row>
    <row r="161" spans="1:20" x14ac:dyDescent="0.35">
      <c r="A161" s="3">
        <v>48</v>
      </c>
      <c r="B161" s="4" t="s">
        <v>95</v>
      </c>
      <c r="C161" s="4">
        <v>2024</v>
      </c>
      <c r="D161" s="33">
        <v>1721416957500</v>
      </c>
      <c r="E161" s="33">
        <v>268273068000</v>
      </c>
      <c r="F161" s="33">
        <f t="shared" si="22"/>
        <v>1989690025500</v>
      </c>
      <c r="G161" s="33">
        <v>1118117188000</v>
      </c>
      <c r="H161" s="45">
        <f t="shared" si="15"/>
        <v>1.779500437748391</v>
      </c>
      <c r="I161" s="27">
        <v>0.61111000000000004</v>
      </c>
      <c r="J161" s="3">
        <v>3</v>
      </c>
      <c r="K161" s="33">
        <v>563015837000</v>
      </c>
      <c r="L161" s="33">
        <v>1118117188000</v>
      </c>
      <c r="M161" s="33">
        <v>268273068000</v>
      </c>
      <c r="N161" s="33">
        <v>1118117188000</v>
      </c>
      <c r="O161" s="27">
        <f t="shared" si="23"/>
        <v>0.74347207423485207</v>
      </c>
      <c r="P161" s="33">
        <v>269273068000</v>
      </c>
      <c r="Q161" s="33">
        <v>849904120000</v>
      </c>
      <c r="R161" s="9">
        <f t="shared" si="21"/>
        <v>0.31682758285722867</v>
      </c>
      <c r="S161" s="33">
        <v>1118117188000</v>
      </c>
      <c r="T161" s="9">
        <f t="shared" si="24"/>
        <v>27.74266730448851</v>
      </c>
    </row>
    <row r="162" spans="1:20" x14ac:dyDescent="0.35">
      <c r="A162" s="2">
        <v>49</v>
      </c>
      <c r="B162" s="1" t="s">
        <v>162</v>
      </c>
      <c r="C162" s="1">
        <v>2022</v>
      </c>
      <c r="D162" s="32">
        <v>19371398263875</v>
      </c>
      <c r="E162" s="32">
        <v>3975927432106</v>
      </c>
      <c r="F162" s="32">
        <f t="shared" si="22"/>
        <v>23347325695981</v>
      </c>
      <c r="G162" s="32">
        <v>7327371934290</v>
      </c>
      <c r="H162" s="44">
        <f t="shared" si="15"/>
        <v>3.1863164454259798</v>
      </c>
      <c r="I162" s="26">
        <v>0.66666999999999998</v>
      </c>
      <c r="J162" s="2">
        <v>3</v>
      </c>
      <c r="K162" s="32">
        <v>1073175070556</v>
      </c>
      <c r="L162" s="32">
        <v>7327371934290</v>
      </c>
      <c r="M162" s="32">
        <v>3975927432106</v>
      </c>
      <c r="N162" s="32">
        <v>7327371934290</v>
      </c>
      <c r="O162" s="26">
        <f t="shared" si="23"/>
        <v>0.68907413844159426</v>
      </c>
      <c r="P162" s="32">
        <v>3975927432106</v>
      </c>
      <c r="Q162" s="32">
        <v>3351444502184</v>
      </c>
      <c r="R162" s="8">
        <f t="shared" si="21"/>
        <v>1.1863324693322685</v>
      </c>
      <c r="S162" s="32">
        <v>7327371934290</v>
      </c>
      <c r="T162" s="8">
        <f t="shared" si="24"/>
        <v>29.622638031970332</v>
      </c>
    </row>
    <row r="163" spans="1:20" x14ac:dyDescent="0.35">
      <c r="A163" s="2">
        <v>49</v>
      </c>
      <c r="B163" s="1" t="s">
        <v>162</v>
      </c>
      <c r="C163" s="1">
        <v>2023</v>
      </c>
      <c r="D163" s="32">
        <v>15866097625650</v>
      </c>
      <c r="E163" s="32">
        <v>3518496516469</v>
      </c>
      <c r="F163" s="32">
        <f t="shared" si="22"/>
        <v>19384594142119</v>
      </c>
      <c r="G163" s="32">
        <v>7427707902688</v>
      </c>
      <c r="H163" s="44">
        <f t="shared" si="15"/>
        <v>2.6097679655797914</v>
      </c>
      <c r="I163" s="26">
        <v>0.66666999999999998</v>
      </c>
      <c r="J163" s="2">
        <v>3</v>
      </c>
      <c r="K163" s="32">
        <v>1116570091988</v>
      </c>
      <c r="L163" s="32">
        <v>7427707902688</v>
      </c>
      <c r="M163" s="32">
        <v>3518496516469</v>
      </c>
      <c r="N163" s="32">
        <v>7427707902688</v>
      </c>
      <c r="O163" s="26">
        <f t="shared" si="23"/>
        <v>0.62402381315770694</v>
      </c>
      <c r="P163" s="32">
        <v>3518496516469</v>
      </c>
      <c r="Q163" s="32">
        <v>3909211386219</v>
      </c>
      <c r="R163" s="8">
        <f t="shared" si="21"/>
        <v>0.90005276482940455</v>
      </c>
      <c r="S163" s="32">
        <v>7427707902688</v>
      </c>
      <c r="T163" s="8">
        <f t="shared" si="24"/>
        <v>29.636238434828897</v>
      </c>
    </row>
    <row r="164" spans="1:20" x14ac:dyDescent="0.35">
      <c r="A164" s="3">
        <v>49</v>
      </c>
      <c r="B164" s="4" t="s">
        <v>162</v>
      </c>
      <c r="C164" s="4">
        <v>2024</v>
      </c>
      <c r="D164" s="33">
        <v>15201935399460</v>
      </c>
      <c r="E164" s="33">
        <v>4425889971924</v>
      </c>
      <c r="F164" s="33">
        <f t="shared" si="22"/>
        <v>19627825371384</v>
      </c>
      <c r="G164" s="33">
        <v>8431726766692</v>
      </c>
      <c r="H164" s="45">
        <f t="shared" si="15"/>
        <v>2.3278535837902323</v>
      </c>
      <c r="I164" s="27">
        <v>0.72221999999999997</v>
      </c>
      <c r="J164" s="3">
        <v>3</v>
      </c>
      <c r="K164" s="33">
        <v>921535997879</v>
      </c>
      <c r="L164" s="33">
        <v>8431726766692</v>
      </c>
      <c r="M164" s="33">
        <v>4425889971924</v>
      </c>
      <c r="N164" s="33">
        <v>8431726766692</v>
      </c>
      <c r="O164" s="27">
        <f t="shared" si="23"/>
        <v>0.63420294771968089</v>
      </c>
      <c r="P164" s="33">
        <v>4425889971924</v>
      </c>
      <c r="Q164" s="33">
        <v>4005836794768</v>
      </c>
      <c r="R164" s="9">
        <f t="shared" si="21"/>
        <v>1.1048602823022218</v>
      </c>
      <c r="S164" s="33">
        <v>8431726766692</v>
      </c>
      <c r="T164" s="9">
        <f t="shared" si="24"/>
        <v>29.763022702872828</v>
      </c>
    </row>
    <row r="165" spans="1:20" x14ac:dyDescent="0.35">
      <c r="A165" s="2">
        <v>50</v>
      </c>
      <c r="B165" s="1" t="s">
        <v>163</v>
      </c>
      <c r="C165" s="1">
        <v>2022</v>
      </c>
      <c r="D165" s="32">
        <v>116619080000000</v>
      </c>
      <c r="E165" s="32">
        <v>57832529000000</v>
      </c>
      <c r="F165" s="32">
        <f>D165+E165</f>
        <v>174451609000000</v>
      </c>
      <c r="G165" s="32">
        <v>115305536000000</v>
      </c>
      <c r="H165" s="44">
        <f t="shared" si="15"/>
        <v>1.5129508525939293</v>
      </c>
      <c r="I165" s="26">
        <v>0.77778000000000003</v>
      </c>
      <c r="J165" s="2">
        <v>3</v>
      </c>
      <c r="K165" s="32">
        <v>15741068000000</v>
      </c>
      <c r="L165" s="32">
        <v>115305536000000</v>
      </c>
      <c r="M165" s="32">
        <v>57832529000000</v>
      </c>
      <c r="N165" s="32">
        <v>115305536000000</v>
      </c>
      <c r="O165" s="26">
        <f t="shared" si="23"/>
        <v>0.63807514844733904</v>
      </c>
      <c r="P165" s="32">
        <v>57832529000000</v>
      </c>
      <c r="Q165" s="32">
        <v>57473007000000</v>
      </c>
      <c r="R165" s="8">
        <f t="shared" si="21"/>
        <v>1.0062554931221885</v>
      </c>
      <c r="S165" s="32">
        <v>115305536000000</v>
      </c>
      <c r="T165" s="8">
        <f t="shared" si="24"/>
        <v>32.378606555927774</v>
      </c>
    </row>
    <row r="166" spans="1:20" x14ac:dyDescent="0.35">
      <c r="A166" s="2">
        <v>50</v>
      </c>
      <c r="B166" s="1" t="s">
        <v>163</v>
      </c>
      <c r="C166" s="1">
        <v>2023</v>
      </c>
      <c r="D166" s="32">
        <v>123324677100000</v>
      </c>
      <c r="E166" s="32">
        <v>57163043000000</v>
      </c>
      <c r="F166" s="32">
        <f t="shared" ref="F166:F167" si="25">D166+E166</f>
        <v>180487720100000</v>
      </c>
      <c r="G166" s="32">
        <v>119267076000000</v>
      </c>
      <c r="H166" s="44">
        <f t="shared" si="15"/>
        <v>1.5133071603096901</v>
      </c>
      <c r="I166" s="26">
        <v>0.77778000000000003</v>
      </c>
      <c r="J166" s="2">
        <v>4</v>
      </c>
      <c r="K166" s="32">
        <v>19353416000000</v>
      </c>
      <c r="L166" s="32">
        <v>119267076000000</v>
      </c>
      <c r="M166" s="32">
        <v>57163043000000</v>
      </c>
      <c r="N166" s="32">
        <v>119267067000000</v>
      </c>
      <c r="O166" s="26">
        <f t="shared" si="23"/>
        <v>0.64155562356181661</v>
      </c>
      <c r="P166" s="32">
        <v>57163043000000</v>
      </c>
      <c r="Q166" s="32">
        <v>62104033000000</v>
      </c>
      <c r="R166" s="8">
        <f t="shared" si="21"/>
        <v>0.92044011054805408</v>
      </c>
      <c r="S166" s="32">
        <v>119267067000000</v>
      </c>
      <c r="T166" s="8">
        <f t="shared" si="24"/>
        <v>32.412386354953235</v>
      </c>
    </row>
    <row r="167" spans="1:20" x14ac:dyDescent="0.35">
      <c r="A167" s="3">
        <v>50</v>
      </c>
      <c r="B167" s="4" t="s">
        <v>163</v>
      </c>
      <c r="C167" s="4">
        <v>2024</v>
      </c>
      <c r="D167" s="33">
        <v>132654203500000</v>
      </c>
      <c r="E167" s="33">
        <v>58997020000000</v>
      </c>
      <c r="F167" s="33">
        <f t="shared" si="25"/>
        <v>191651223500000</v>
      </c>
      <c r="G167" s="33">
        <v>126040905000000</v>
      </c>
      <c r="H167" s="45">
        <f t="shared" si="15"/>
        <v>1.5205478213600576</v>
      </c>
      <c r="I167" s="27">
        <v>0.77778000000000003</v>
      </c>
      <c r="J167" s="3">
        <v>4</v>
      </c>
      <c r="K167" s="33">
        <v>25292640000000</v>
      </c>
      <c r="L167" s="33">
        <v>126040905000000</v>
      </c>
      <c r="M167" s="33">
        <v>58977020000000</v>
      </c>
      <c r="N167" s="33">
        <v>126040905000000</v>
      </c>
      <c r="O167" s="27">
        <f t="shared" si="23"/>
        <v>0.66858977250282359</v>
      </c>
      <c r="P167" s="33">
        <v>58977020000000</v>
      </c>
      <c r="Q167" s="33">
        <v>67043885000000</v>
      </c>
      <c r="R167" s="9">
        <f t="shared" si="21"/>
        <v>0.87967784086497969</v>
      </c>
      <c r="S167" s="33">
        <v>126040905000000</v>
      </c>
      <c r="T167" s="9">
        <f t="shared" si="24"/>
        <v>32.46762761305208</v>
      </c>
    </row>
    <row r="168" spans="1:20" x14ac:dyDescent="0.35">
      <c r="A168" s="2">
        <v>51</v>
      </c>
      <c r="B168" s="1" t="s">
        <v>167</v>
      </c>
      <c r="C168" s="1">
        <v>2022</v>
      </c>
      <c r="D168" s="32">
        <v>59045500000000</v>
      </c>
      <c r="E168" s="32">
        <v>86810262000000</v>
      </c>
      <c r="F168" s="34">
        <f>E168</f>
        <v>86810262000000</v>
      </c>
      <c r="G168" s="32">
        <v>180433300000000</v>
      </c>
      <c r="H168" s="46">
        <f t="shared" si="15"/>
        <v>0.48112106800684795</v>
      </c>
      <c r="I168" s="26">
        <v>0.83333000000000002</v>
      </c>
      <c r="J168" s="2">
        <v>3</v>
      </c>
      <c r="K168" s="32">
        <v>25945916000000</v>
      </c>
      <c r="L168" s="32">
        <v>180433300000000</v>
      </c>
      <c r="M168" s="32">
        <v>86810262000000</v>
      </c>
      <c r="N168" s="32">
        <v>180433300000000</v>
      </c>
      <c r="O168" s="26">
        <f t="shared" si="23"/>
        <v>0.62491889246608023</v>
      </c>
      <c r="P168" s="32">
        <v>86810262000000</v>
      </c>
      <c r="Q168" s="32">
        <v>93623038000000</v>
      </c>
      <c r="R168" s="8">
        <f t="shared" si="21"/>
        <v>0.92723184223096888</v>
      </c>
      <c r="S168" s="32">
        <v>180433300000000</v>
      </c>
      <c r="T168" s="8">
        <f t="shared" si="24"/>
        <v>32.826382296322912</v>
      </c>
    </row>
    <row r="169" spans="1:20" x14ac:dyDescent="0.35">
      <c r="A169" s="2">
        <v>51</v>
      </c>
      <c r="B169" s="1" t="s">
        <v>167</v>
      </c>
      <c r="C169" s="1">
        <v>2023</v>
      </c>
      <c r="D169" s="32">
        <v>56631000000000</v>
      </c>
      <c r="E169" s="32">
        <v>86123066000000</v>
      </c>
      <c r="F169" s="32">
        <f t="shared" ref="F169:F170" si="26">E169</f>
        <v>86123066000000</v>
      </c>
      <c r="G169" s="32">
        <v>186587957000000</v>
      </c>
      <c r="H169" s="44">
        <f t="shared" si="15"/>
        <v>0.46156819220653134</v>
      </c>
      <c r="I169" s="26">
        <v>0.83333000000000002</v>
      </c>
      <c r="J169" s="2">
        <v>3</v>
      </c>
      <c r="K169" s="32">
        <v>28575968000000</v>
      </c>
      <c r="L169" s="32">
        <v>186587957000000</v>
      </c>
      <c r="M169" s="32">
        <v>86123066000000</v>
      </c>
      <c r="N169" s="32">
        <v>186587957000000</v>
      </c>
      <c r="O169" s="26">
        <f t="shared" si="23"/>
        <v>0.61471831217917239</v>
      </c>
      <c r="P169" s="32">
        <v>86123066000000</v>
      </c>
      <c r="Q169" s="32">
        <v>100464891000000</v>
      </c>
      <c r="R169" s="8">
        <f t="shared" si="21"/>
        <v>0.8572454032722735</v>
      </c>
      <c r="S169" s="32">
        <v>186587957000000</v>
      </c>
      <c r="T169" s="8">
        <f t="shared" si="24"/>
        <v>32.859923863137936</v>
      </c>
    </row>
    <row r="170" spans="1:20" x14ac:dyDescent="0.35">
      <c r="A170" s="3">
        <v>51</v>
      </c>
      <c r="B170" s="4" t="s">
        <v>167</v>
      </c>
      <c r="C170" s="4">
        <v>2024</v>
      </c>
      <c r="D170" s="33">
        <v>67606000000000</v>
      </c>
      <c r="E170" s="33">
        <v>92722030000000</v>
      </c>
      <c r="F170" s="33">
        <f t="shared" si="26"/>
        <v>92722030000000</v>
      </c>
      <c r="G170" s="33">
        <v>201713313000000</v>
      </c>
      <c r="H170" s="45">
        <f t="shared" si="15"/>
        <v>0.45967233704599358</v>
      </c>
      <c r="I170" s="27">
        <v>0.83333000000000002</v>
      </c>
      <c r="J170" s="3">
        <v>2</v>
      </c>
      <c r="K170" s="33">
        <v>38710056000000</v>
      </c>
      <c r="L170" s="33">
        <v>201713313000000</v>
      </c>
      <c r="M170" s="33">
        <v>92722030000000</v>
      </c>
      <c r="N170" s="33">
        <v>201713313000000</v>
      </c>
      <c r="O170" s="27">
        <f t="shared" si="23"/>
        <v>0.65157863923438708</v>
      </c>
      <c r="P170" s="33">
        <v>92722030000000</v>
      </c>
      <c r="Q170" s="33">
        <v>108991283000000</v>
      </c>
      <c r="R170" s="9">
        <f t="shared" si="21"/>
        <v>0.85072886058236419</v>
      </c>
      <c r="S170" s="33">
        <v>201713313000000</v>
      </c>
      <c r="T170" s="9">
        <f t="shared" si="24"/>
        <v>32.937868562676833</v>
      </c>
    </row>
    <row r="171" spans="1:20" x14ac:dyDescent="0.35">
      <c r="A171" s="2">
        <v>52</v>
      </c>
      <c r="B171" s="1" t="s">
        <v>96</v>
      </c>
      <c r="C171" s="1">
        <v>2022</v>
      </c>
      <c r="D171" s="32">
        <v>19295906000000</v>
      </c>
      <c r="E171" s="32">
        <v>2301227000000</v>
      </c>
      <c r="F171" s="32">
        <f t="shared" si="22"/>
        <v>21597133000000</v>
      </c>
      <c r="G171" s="32">
        <v>3374502000000</v>
      </c>
      <c r="H171" s="44">
        <f t="shared" si="15"/>
        <v>6.400094888075337</v>
      </c>
      <c r="I171" s="26">
        <v>0.72221999999999997</v>
      </c>
      <c r="J171" s="2">
        <v>3</v>
      </c>
      <c r="K171" s="32">
        <v>842329000000</v>
      </c>
      <c r="L171" s="32">
        <v>3374502000000</v>
      </c>
      <c r="M171" s="32">
        <v>2301227000000</v>
      </c>
      <c r="N171" s="32">
        <v>3374502000000</v>
      </c>
      <c r="O171" s="26">
        <f t="shared" si="23"/>
        <v>0.93156145706833193</v>
      </c>
      <c r="P171" s="32">
        <v>2301277000000</v>
      </c>
      <c r="Q171" s="32">
        <v>1073275000000</v>
      </c>
      <c r="R171" s="8">
        <f t="shared" si="21"/>
        <v>2.1441634250308637</v>
      </c>
      <c r="S171" s="32">
        <v>3374502000000</v>
      </c>
      <c r="T171" s="8">
        <f t="shared" si="24"/>
        <v>28.847268873810094</v>
      </c>
    </row>
    <row r="172" spans="1:20" x14ac:dyDescent="0.35">
      <c r="A172" s="2">
        <v>52</v>
      </c>
      <c r="B172" s="1" t="s">
        <v>96</v>
      </c>
      <c r="C172" s="1">
        <v>2023</v>
      </c>
      <c r="D172" s="32">
        <v>16891117000000</v>
      </c>
      <c r="E172" s="32">
        <v>2015987000000</v>
      </c>
      <c r="F172" s="32">
        <f t="shared" si="22"/>
        <v>18907104000000</v>
      </c>
      <c r="G172" s="32">
        <v>3407442000000</v>
      </c>
      <c r="H172" s="44">
        <f t="shared" si="15"/>
        <v>5.5487676679456319</v>
      </c>
      <c r="I172" s="26">
        <v>0.66666999999999998</v>
      </c>
      <c r="J172" s="2">
        <v>3</v>
      </c>
      <c r="K172" s="32">
        <v>798000000000</v>
      </c>
      <c r="L172" s="32">
        <v>3407442000000</v>
      </c>
      <c r="M172" s="32">
        <v>2015987000000</v>
      </c>
      <c r="N172" s="32">
        <v>3407442000000</v>
      </c>
      <c r="O172" s="26">
        <f t="shared" si="23"/>
        <v>0.82583562684265788</v>
      </c>
      <c r="P172" s="32">
        <v>2015987000000</v>
      </c>
      <c r="Q172" s="32">
        <v>1391455000000</v>
      </c>
      <c r="R172" s="8">
        <f t="shared" si="21"/>
        <v>1.4488337747178313</v>
      </c>
      <c r="S172" s="32">
        <v>3407442000000</v>
      </c>
      <c r="T172" s="8">
        <f t="shared" si="24"/>
        <v>28.85698297909564</v>
      </c>
    </row>
    <row r="173" spans="1:20" x14ac:dyDescent="0.35">
      <c r="A173" s="3">
        <v>52</v>
      </c>
      <c r="B173" s="4" t="s">
        <v>96</v>
      </c>
      <c r="C173" s="4">
        <v>2024</v>
      </c>
      <c r="D173" s="33">
        <v>13290956000000</v>
      </c>
      <c r="E173" s="33">
        <v>2124203000000</v>
      </c>
      <c r="F173" s="33">
        <f t="shared" si="22"/>
        <v>15415159000000</v>
      </c>
      <c r="G173" s="33">
        <v>3441008000000</v>
      </c>
      <c r="H173" s="45">
        <f t="shared" si="15"/>
        <v>4.4798381753253702</v>
      </c>
      <c r="I173" s="27">
        <v>0.66666999999999998</v>
      </c>
      <c r="J173" s="3">
        <v>3</v>
      </c>
      <c r="K173" s="33">
        <v>1055927000000</v>
      </c>
      <c r="L173" s="33">
        <v>3441008000000</v>
      </c>
      <c r="M173" s="33">
        <v>2124203000000</v>
      </c>
      <c r="N173" s="33">
        <v>3441008000000</v>
      </c>
      <c r="O173" s="27">
        <f t="shared" si="23"/>
        <v>0.9241855874790178</v>
      </c>
      <c r="P173" s="33">
        <v>2124203000000</v>
      </c>
      <c r="Q173" s="33">
        <v>1316885000000</v>
      </c>
      <c r="R173" s="9">
        <f t="shared" si="21"/>
        <v>1.613051253526314</v>
      </c>
      <c r="S173" s="33">
        <v>3441008000000</v>
      </c>
      <c r="T173" s="9">
        <f t="shared" si="24"/>
        <v>28.86678556764674</v>
      </c>
    </row>
    <row r="174" spans="1:20" x14ac:dyDescent="0.35">
      <c r="A174" s="2">
        <v>53</v>
      </c>
      <c r="B174" s="1" t="s">
        <v>97</v>
      </c>
      <c r="C174" s="1">
        <v>2022</v>
      </c>
      <c r="D174" s="32">
        <v>55896749312500</v>
      </c>
      <c r="E174" s="32">
        <v>9441466604896</v>
      </c>
      <c r="F174" s="32">
        <f t="shared" si="22"/>
        <v>65338215917396</v>
      </c>
      <c r="G174" s="32">
        <v>22276160695411</v>
      </c>
      <c r="H174" s="44">
        <f t="shared" si="15"/>
        <v>2.933100403197217</v>
      </c>
      <c r="I174" s="26">
        <v>0.61111000000000004</v>
      </c>
      <c r="J174" s="2">
        <v>3</v>
      </c>
      <c r="K174" s="32">
        <v>3262074784511</v>
      </c>
      <c r="L174" s="32">
        <v>22276160695411</v>
      </c>
      <c r="M174" s="32">
        <v>9441466604896</v>
      </c>
      <c r="N174" s="32">
        <v>22276160695411</v>
      </c>
      <c r="O174" s="26">
        <f t="shared" si="23"/>
        <v>0.57027517277804485</v>
      </c>
      <c r="P174" s="32">
        <v>9441466604896</v>
      </c>
      <c r="Q174" s="32">
        <v>12834694090515</v>
      </c>
      <c r="R174" s="8">
        <f t="shared" si="21"/>
        <v>0.73562069639613481</v>
      </c>
      <c r="S174" s="32">
        <v>22276160695411</v>
      </c>
      <c r="T174" s="8">
        <f t="shared" si="24"/>
        <v>30.734538195465962</v>
      </c>
    </row>
    <row r="175" spans="1:20" x14ac:dyDescent="0.35">
      <c r="A175" s="2">
        <v>53</v>
      </c>
      <c r="B175" s="1" t="s">
        <v>97</v>
      </c>
      <c r="C175" s="1">
        <v>2023</v>
      </c>
      <c r="D175" s="32">
        <v>55673162315250</v>
      </c>
      <c r="E175" s="32">
        <v>8588315775736</v>
      </c>
      <c r="F175" s="32">
        <f t="shared" si="22"/>
        <v>64261478090986</v>
      </c>
      <c r="G175" s="32">
        <v>23870404962472</v>
      </c>
      <c r="H175" s="44">
        <f t="shared" si="15"/>
        <v>2.6920983616329539</v>
      </c>
      <c r="I175" s="26">
        <v>0.66666999999999998</v>
      </c>
      <c r="J175" s="2">
        <v>3</v>
      </c>
      <c r="K175" s="32">
        <v>4156738667354</v>
      </c>
      <c r="L175" s="32">
        <v>23870404962472</v>
      </c>
      <c r="M175" s="32">
        <v>8558315775736</v>
      </c>
      <c r="N175" s="32">
        <v>23870404962472</v>
      </c>
      <c r="O175" s="26">
        <f t="shared" si="23"/>
        <v>0.53267024430796417</v>
      </c>
      <c r="P175" s="32">
        <v>8558315775736</v>
      </c>
      <c r="Q175" s="32">
        <v>15282089186736</v>
      </c>
      <c r="R175" s="8">
        <f t="shared" si="21"/>
        <v>0.56002262983546391</v>
      </c>
      <c r="S175" s="32">
        <v>23870404962472</v>
      </c>
      <c r="T175" s="8">
        <f t="shared" si="24"/>
        <v>30.803660521467258</v>
      </c>
    </row>
    <row r="176" spans="1:20" x14ac:dyDescent="0.35">
      <c r="A176" s="3">
        <v>53</v>
      </c>
      <c r="B176" s="4" t="s">
        <v>97</v>
      </c>
      <c r="C176" s="4">
        <v>2024</v>
      </c>
      <c r="D176" s="33">
        <v>62157185235500</v>
      </c>
      <c r="E176" s="33">
        <v>12626353599187</v>
      </c>
      <c r="F176" s="33">
        <f t="shared" si="22"/>
        <v>74783538834687</v>
      </c>
      <c r="G176" s="33">
        <v>29728781933757</v>
      </c>
      <c r="H176" s="45">
        <f t="shared" si="15"/>
        <v>2.5155265022738913</v>
      </c>
      <c r="I176" s="27">
        <v>0.77778000000000003</v>
      </c>
      <c r="J176" s="3">
        <v>2</v>
      </c>
      <c r="K176" s="33">
        <v>4601449023397</v>
      </c>
      <c r="L176" s="33">
        <v>29728781933757</v>
      </c>
      <c r="M176" s="33">
        <v>12626353599187</v>
      </c>
      <c r="N176" s="33">
        <v>29728781933757</v>
      </c>
      <c r="O176" s="27">
        <f t="shared" si="23"/>
        <v>0.57949910833789819</v>
      </c>
      <c r="P176" s="33">
        <v>12626353599187</v>
      </c>
      <c r="Q176" s="33">
        <v>17102428334570</v>
      </c>
      <c r="R176" s="9">
        <f t="shared" si="21"/>
        <v>0.73827841007026562</v>
      </c>
      <c r="S176" s="33">
        <v>29782781933757</v>
      </c>
      <c r="T176" s="9">
        <f t="shared" si="24"/>
        <v>31.024951554998591</v>
      </c>
    </row>
    <row r="177" spans="1:20" x14ac:dyDescent="0.35">
      <c r="A177" s="2">
        <v>54</v>
      </c>
      <c r="B177" s="1" t="s">
        <v>98</v>
      </c>
      <c r="C177" s="1">
        <v>2022</v>
      </c>
      <c r="D177" s="32">
        <v>119520000000</v>
      </c>
      <c r="E177" s="32">
        <v>666499450770</v>
      </c>
      <c r="F177" s="32">
        <f t="shared" si="22"/>
        <v>786019450770</v>
      </c>
      <c r="G177" s="32">
        <v>705620167464</v>
      </c>
      <c r="H177" s="44">
        <f t="shared" si="15"/>
        <v>1.1139413058373249</v>
      </c>
      <c r="I177" s="26">
        <v>0.61111000000000004</v>
      </c>
      <c r="J177" s="2">
        <v>3</v>
      </c>
      <c r="K177" s="32">
        <v>27151464306</v>
      </c>
      <c r="L177" s="32">
        <v>705620167464</v>
      </c>
      <c r="M177" s="32">
        <v>666499450770</v>
      </c>
      <c r="N177" s="32">
        <v>705620167464</v>
      </c>
      <c r="O177" s="26">
        <f t="shared" si="23"/>
        <v>0.98303725865571912</v>
      </c>
      <c r="P177" s="32">
        <v>666499450770</v>
      </c>
      <c r="Q177" s="32">
        <v>39120716694</v>
      </c>
      <c r="R177" s="8">
        <f t="shared" si="21"/>
        <v>17.036994899232557</v>
      </c>
      <c r="S177" s="32">
        <v>705620167464</v>
      </c>
      <c r="T177" s="8">
        <f t="shared" si="24"/>
        <v>27.282342923237337</v>
      </c>
    </row>
    <row r="178" spans="1:20" x14ac:dyDescent="0.35">
      <c r="A178" s="2">
        <v>54</v>
      </c>
      <c r="B178" s="1" t="s">
        <v>98</v>
      </c>
      <c r="C178" s="1">
        <v>2023</v>
      </c>
      <c r="D178" s="32">
        <v>129600000000</v>
      </c>
      <c r="E178" s="32">
        <v>85891241704</v>
      </c>
      <c r="F178" s="32">
        <f t="shared" si="22"/>
        <v>215491241704</v>
      </c>
      <c r="G178" s="32">
        <v>151973453634</v>
      </c>
      <c r="H178" s="44">
        <f t="shared" si="15"/>
        <v>1.4179531790003987</v>
      </c>
      <c r="I178" s="26">
        <v>0.61111000000000004</v>
      </c>
      <c r="J178" s="2">
        <v>3</v>
      </c>
      <c r="K178" s="32">
        <v>3668460928</v>
      </c>
      <c r="L178" s="32">
        <v>151973453634</v>
      </c>
      <c r="M178" s="32">
        <v>85891241704</v>
      </c>
      <c r="N178" s="32">
        <v>151973453634</v>
      </c>
      <c r="O178" s="26">
        <f t="shared" si="23"/>
        <v>0.58931149151672235</v>
      </c>
      <c r="P178" s="32">
        <v>85891241704</v>
      </c>
      <c r="Q178" s="32">
        <v>66082211930</v>
      </c>
      <c r="R178" s="8">
        <f t="shared" si="21"/>
        <v>1.2997634188604861</v>
      </c>
      <c r="S178" s="32">
        <v>151973453634</v>
      </c>
      <c r="T178" s="8">
        <f t="shared" si="24"/>
        <v>25.746971695395363</v>
      </c>
    </row>
    <row r="179" spans="1:20" x14ac:dyDescent="0.35">
      <c r="A179" s="3">
        <v>54</v>
      </c>
      <c r="B179" s="4" t="s">
        <v>98</v>
      </c>
      <c r="C179" s="4">
        <v>2024</v>
      </c>
      <c r="D179" s="33">
        <v>108000000000</v>
      </c>
      <c r="E179" s="33">
        <v>99867945325</v>
      </c>
      <c r="F179" s="33">
        <f t="shared" si="22"/>
        <v>207867945325</v>
      </c>
      <c r="G179" s="33">
        <v>146364186269</v>
      </c>
      <c r="H179" s="45">
        <f t="shared" si="15"/>
        <v>1.4202104396150803</v>
      </c>
      <c r="I179" s="27">
        <v>0.61111000000000004</v>
      </c>
      <c r="J179" s="3">
        <v>3</v>
      </c>
      <c r="K179" s="33">
        <v>1806897330</v>
      </c>
      <c r="L179" s="33">
        <v>146364186269</v>
      </c>
      <c r="M179" s="33">
        <v>99867945325</v>
      </c>
      <c r="N179" s="33">
        <v>146364186269</v>
      </c>
      <c r="O179" s="27">
        <f t="shared" si="23"/>
        <v>0.69467022805793288</v>
      </c>
      <c r="P179" s="33">
        <v>99867945325</v>
      </c>
      <c r="Q179" s="33">
        <v>46496240944</v>
      </c>
      <c r="R179" s="9">
        <f t="shared" si="21"/>
        <v>2.1478713826625424</v>
      </c>
      <c r="S179" s="33">
        <v>146634186269</v>
      </c>
      <c r="T179" s="9">
        <f t="shared" si="24"/>
        <v>25.711206793408511</v>
      </c>
    </row>
    <row r="180" spans="1:20" x14ac:dyDescent="0.35">
      <c r="A180" s="2">
        <v>55</v>
      </c>
      <c r="B180" s="1" t="s">
        <v>99</v>
      </c>
      <c r="C180" s="1">
        <v>2022</v>
      </c>
      <c r="D180" s="32">
        <v>7528269260160</v>
      </c>
      <c r="E180" s="32">
        <v>1449163077319</v>
      </c>
      <c r="F180" s="32">
        <f t="shared" si="22"/>
        <v>8977432337479</v>
      </c>
      <c r="G180" s="32">
        <v>4130321616083</v>
      </c>
      <c r="H180" s="44">
        <f t="shared" ref="H180:H214" si="27">F180/G180</f>
        <v>2.1735431697429819</v>
      </c>
      <c r="I180" s="26">
        <v>0.72221999999999997</v>
      </c>
      <c r="J180" s="2">
        <v>3</v>
      </c>
      <c r="K180" s="32">
        <v>627450783230</v>
      </c>
      <c r="L180" s="32">
        <v>4130321616083</v>
      </c>
      <c r="M180" s="32">
        <v>1449163077319</v>
      </c>
      <c r="N180" s="32">
        <v>4130321616083</v>
      </c>
      <c r="O180" s="26">
        <f t="shared" si="23"/>
        <v>0.50277292026434528</v>
      </c>
      <c r="P180" s="32">
        <v>1449163077319</v>
      </c>
      <c r="Q180" s="32">
        <v>2681158538764</v>
      </c>
      <c r="R180" s="8">
        <f t="shared" si="21"/>
        <v>0.54049883897841289</v>
      </c>
      <c r="S180" s="32">
        <v>4130321616083</v>
      </c>
      <c r="T180" s="8">
        <f t="shared" si="24"/>
        <v>29.049376393013116</v>
      </c>
    </row>
    <row r="181" spans="1:20" x14ac:dyDescent="0.35">
      <c r="A181" s="2">
        <v>55</v>
      </c>
      <c r="B181" s="1" t="s">
        <v>99</v>
      </c>
      <c r="C181" s="1">
        <v>2023</v>
      </c>
      <c r="D181" s="32">
        <v>6558719431200</v>
      </c>
      <c r="E181" s="32">
        <v>1550086849761</v>
      </c>
      <c r="F181" s="32">
        <f t="shared" si="22"/>
        <v>8108806280961</v>
      </c>
      <c r="G181" s="32">
        <v>3943518425042</v>
      </c>
      <c r="H181" s="44">
        <f t="shared" si="27"/>
        <v>2.0562364383715637</v>
      </c>
      <c r="I181" s="26">
        <v>0.72221999999999997</v>
      </c>
      <c r="J181" s="2">
        <v>3</v>
      </c>
      <c r="K181" s="32">
        <v>537954241879</v>
      </c>
      <c r="L181" s="32">
        <v>3943518425042</v>
      </c>
      <c r="M181" s="32">
        <v>1550086849761</v>
      </c>
      <c r="N181" s="32">
        <v>3943518425042</v>
      </c>
      <c r="O181" s="26">
        <f t="shared" si="23"/>
        <v>0.52948683550724418</v>
      </c>
      <c r="P181" s="32">
        <v>1550086849761</v>
      </c>
      <c r="Q181" s="32">
        <v>2393431575281</v>
      </c>
      <c r="R181" s="8">
        <f t="shared" si="21"/>
        <v>0.64764201566072033</v>
      </c>
      <c r="S181" s="32">
        <v>3943518425042</v>
      </c>
      <c r="T181" s="8">
        <f t="shared" si="24"/>
        <v>29.00309444202966</v>
      </c>
    </row>
    <row r="182" spans="1:20" x14ac:dyDescent="0.35">
      <c r="A182" s="3">
        <v>55</v>
      </c>
      <c r="B182" s="4" t="s">
        <v>99</v>
      </c>
      <c r="C182" s="4">
        <v>2024</v>
      </c>
      <c r="D182" s="33">
        <v>5521802103360</v>
      </c>
      <c r="E182" s="33">
        <v>1438191795263</v>
      </c>
      <c r="F182" s="33">
        <f t="shared" si="22"/>
        <v>6959993898623</v>
      </c>
      <c r="G182" s="33">
        <v>3746346988767</v>
      </c>
      <c r="H182" s="45">
        <f t="shared" si="27"/>
        <v>1.8578081313588299</v>
      </c>
      <c r="I182" s="27">
        <v>0.72221999999999997</v>
      </c>
      <c r="J182" s="3">
        <v>3</v>
      </c>
      <c r="K182" s="33">
        <v>430946384199</v>
      </c>
      <c r="L182" s="33">
        <v>3746346988767</v>
      </c>
      <c r="M182" s="33">
        <v>1438191795263</v>
      </c>
      <c r="N182" s="33">
        <v>3746346988767</v>
      </c>
      <c r="O182" s="27">
        <f t="shared" si="23"/>
        <v>0.49892286674629993</v>
      </c>
      <c r="P182" s="33">
        <v>1438191795263</v>
      </c>
      <c r="Q182" s="33">
        <v>2308155193504</v>
      </c>
      <c r="R182" s="9">
        <f t="shared" si="21"/>
        <v>0.62309146252843051</v>
      </c>
      <c r="S182" s="33">
        <v>3746346988767</v>
      </c>
      <c r="T182" s="9">
        <f t="shared" si="24"/>
        <v>28.951802344802918</v>
      </c>
    </row>
    <row r="183" spans="1:20" x14ac:dyDescent="0.35">
      <c r="A183" s="2">
        <v>56</v>
      </c>
      <c r="B183" s="1" t="s">
        <v>100</v>
      </c>
      <c r="C183" s="1">
        <v>2022</v>
      </c>
      <c r="D183" s="32">
        <v>1346943975000</v>
      </c>
      <c r="E183" s="32">
        <v>442535947408</v>
      </c>
      <c r="F183" s="32">
        <f t="shared" si="22"/>
        <v>1789479922408</v>
      </c>
      <c r="G183" s="32">
        <v>1033289474829</v>
      </c>
      <c r="H183" s="44">
        <f>F183/G183</f>
        <v>1.7318282688441617</v>
      </c>
      <c r="I183" s="26">
        <v>0.72221999999999997</v>
      </c>
      <c r="J183" s="2">
        <v>2</v>
      </c>
      <c r="K183" s="32">
        <v>96960982659</v>
      </c>
      <c r="L183" s="32">
        <v>1033289474829</v>
      </c>
      <c r="M183" s="32">
        <v>442535941408</v>
      </c>
      <c r="N183" s="32">
        <v>1033289474829</v>
      </c>
      <c r="O183" s="26">
        <f t="shared" si="23"/>
        <v>0.52211595802452337</v>
      </c>
      <c r="P183" s="32">
        <v>442535941408</v>
      </c>
      <c r="Q183" s="32">
        <v>590753527421</v>
      </c>
      <c r="R183" s="8">
        <f t="shared" si="21"/>
        <v>0.74910418790039168</v>
      </c>
      <c r="S183" s="32">
        <v>1033289474829</v>
      </c>
      <c r="T183" s="8">
        <f t="shared" si="24"/>
        <v>27.663768494136907</v>
      </c>
    </row>
    <row r="184" spans="1:20" x14ac:dyDescent="0.35">
      <c r="A184" s="2">
        <v>56</v>
      </c>
      <c r="B184" s="1" t="s">
        <v>100</v>
      </c>
      <c r="C184" s="1">
        <v>2023</v>
      </c>
      <c r="D184" s="32">
        <v>1374573595000</v>
      </c>
      <c r="E184" s="32">
        <v>465795522143</v>
      </c>
      <c r="F184" s="32">
        <f t="shared" si="22"/>
        <v>1840369117143</v>
      </c>
      <c r="G184" s="32">
        <v>1282739303035</v>
      </c>
      <c r="H184" s="44">
        <f t="shared" si="27"/>
        <v>1.4347179608425742</v>
      </c>
      <c r="I184" s="26">
        <v>0.72221999999999997</v>
      </c>
      <c r="J184" s="2">
        <v>3</v>
      </c>
      <c r="K184" s="32">
        <v>246959516389</v>
      </c>
      <c r="L184" s="32">
        <v>1282739303035</v>
      </c>
      <c r="M184" s="32">
        <v>465795522143</v>
      </c>
      <c r="N184" s="32">
        <v>1282739303035</v>
      </c>
      <c r="O184" s="26">
        <f t="shared" si="23"/>
        <v>0.55565073654919594</v>
      </c>
      <c r="P184" s="32">
        <v>465795522142</v>
      </c>
      <c r="Q184" s="32">
        <v>816943780892</v>
      </c>
      <c r="R184" s="8">
        <f t="shared" si="21"/>
        <v>0.57016839228938099</v>
      </c>
      <c r="S184" s="32">
        <v>1282739303035</v>
      </c>
      <c r="T184" s="8">
        <f t="shared" si="24"/>
        <v>27.880018987645819</v>
      </c>
    </row>
    <row r="185" spans="1:20" x14ac:dyDescent="0.35">
      <c r="A185" s="3">
        <v>56</v>
      </c>
      <c r="B185" s="4" t="s">
        <v>100</v>
      </c>
      <c r="C185" s="4">
        <v>2024</v>
      </c>
      <c r="D185" s="33">
        <v>1947888210000</v>
      </c>
      <c r="E185" s="33">
        <v>507398668005</v>
      </c>
      <c r="F185" s="33">
        <f t="shared" si="22"/>
        <v>2455286878005</v>
      </c>
      <c r="G185" s="33">
        <v>1552025167907</v>
      </c>
      <c r="H185" s="45">
        <f t="shared" si="27"/>
        <v>1.5819890867595292</v>
      </c>
      <c r="I185" s="27">
        <v>0.72221999999999997</v>
      </c>
      <c r="J185" s="3">
        <v>3</v>
      </c>
      <c r="K185" s="33">
        <v>132582752109</v>
      </c>
      <c r="L185" s="33">
        <v>1552025167907</v>
      </c>
      <c r="M185" s="33">
        <v>507398668005</v>
      </c>
      <c r="N185" s="33">
        <v>1552025167907</v>
      </c>
      <c r="O185" s="27">
        <f t="shared" si="23"/>
        <v>0.41235247555750254</v>
      </c>
      <c r="P185" s="33">
        <v>597398668005</v>
      </c>
      <c r="Q185" s="33">
        <v>914626499902</v>
      </c>
      <c r="R185" s="9">
        <f t="shared" si="21"/>
        <v>0.65316133751756567</v>
      </c>
      <c r="S185" s="33">
        <v>1552025167907</v>
      </c>
      <c r="T185" s="9">
        <f t="shared" si="24"/>
        <v>28.070581753993014</v>
      </c>
    </row>
    <row r="186" spans="1:20" x14ac:dyDescent="0.35">
      <c r="A186" s="2">
        <v>57</v>
      </c>
      <c r="B186" s="1" t="s">
        <v>164</v>
      </c>
      <c r="C186" s="1">
        <v>2022</v>
      </c>
      <c r="D186" s="32">
        <v>15337308420000</v>
      </c>
      <c r="E186" s="32">
        <v>1553696000000</v>
      </c>
      <c r="F186" s="32">
        <f t="shared" si="22"/>
        <v>16891004420000</v>
      </c>
      <c r="G186" s="32">
        <v>7376375000000</v>
      </c>
      <c r="H186" s="44">
        <f t="shared" si="27"/>
        <v>2.2898787575197845</v>
      </c>
      <c r="I186" s="26">
        <v>0.61111000000000004</v>
      </c>
      <c r="J186" s="2">
        <v>3</v>
      </c>
      <c r="K186" s="32">
        <v>1248642000000</v>
      </c>
      <c r="L186" s="32">
        <v>7736375000000</v>
      </c>
      <c r="M186" s="32">
        <v>1533696000000</v>
      </c>
      <c r="N186" s="32">
        <v>7736375000000</v>
      </c>
      <c r="O186" s="26">
        <f t="shared" si="23"/>
        <v>0.35964363154578211</v>
      </c>
      <c r="P186" s="32">
        <v>1533696000000</v>
      </c>
      <c r="Q186" s="32">
        <v>5822679000000</v>
      </c>
      <c r="R186" s="8">
        <f t="shared" si="21"/>
        <v>0.26340040383472968</v>
      </c>
      <c r="S186" s="32">
        <v>7736375000000</v>
      </c>
      <c r="T186" s="8">
        <f t="shared" si="24"/>
        <v>29.676954347568593</v>
      </c>
    </row>
    <row r="187" spans="1:20" x14ac:dyDescent="0.35">
      <c r="A187" s="2">
        <v>57</v>
      </c>
      <c r="B187" s="1" t="s">
        <v>164</v>
      </c>
      <c r="C187" s="1">
        <v>2023</v>
      </c>
      <c r="D187" s="32">
        <v>15337308420000</v>
      </c>
      <c r="E187" s="32">
        <v>836988000000</v>
      </c>
      <c r="F187" s="32">
        <f t="shared" si="22"/>
        <v>16174296420000</v>
      </c>
      <c r="G187" s="32">
        <v>7523956000000</v>
      </c>
      <c r="H187" s="44">
        <f t="shared" si="27"/>
        <v>2.1497064071081757</v>
      </c>
      <c r="I187" s="26">
        <v>0.66666999999999998</v>
      </c>
      <c r="J187" s="2">
        <v>3</v>
      </c>
      <c r="K187" s="32">
        <v>2174324000000</v>
      </c>
      <c r="L187" s="32">
        <v>7523956000000</v>
      </c>
      <c r="M187" s="32">
        <v>836988000000</v>
      </c>
      <c r="N187" s="32">
        <v>7523956000000</v>
      </c>
      <c r="O187" s="26">
        <f t="shared" si="23"/>
        <v>0.40022987906893659</v>
      </c>
      <c r="P187" s="32">
        <v>836988000000</v>
      </c>
      <c r="Q187" s="32">
        <v>6686968000000</v>
      </c>
      <c r="R187" s="8">
        <f t="shared" si="21"/>
        <v>0.12516704132575482</v>
      </c>
      <c r="S187" s="32">
        <v>7523956000000</v>
      </c>
      <c r="T187" s="8">
        <f t="shared" si="24"/>
        <v>29.649113179397016</v>
      </c>
    </row>
    <row r="188" spans="1:20" x14ac:dyDescent="0.35">
      <c r="A188" s="3">
        <v>57</v>
      </c>
      <c r="B188" s="4" t="s">
        <v>164</v>
      </c>
      <c r="C188" s="4">
        <v>2024</v>
      </c>
      <c r="D188" s="33">
        <v>18768706236000</v>
      </c>
      <c r="E188" s="33">
        <v>1034447000000</v>
      </c>
      <c r="F188" s="33">
        <f t="shared" si="22"/>
        <v>19803153236000</v>
      </c>
      <c r="G188" s="33">
        <v>8461365000000</v>
      </c>
      <c r="H188" s="45">
        <f t="shared" si="27"/>
        <v>2.3404206337866289</v>
      </c>
      <c r="I188" s="27">
        <v>0.66666999999999998</v>
      </c>
      <c r="J188" s="3">
        <v>3</v>
      </c>
      <c r="K188" s="33">
        <v>2434322000000</v>
      </c>
      <c r="L188" s="33">
        <v>8461365000000</v>
      </c>
      <c r="M188" s="33">
        <v>1034447000000</v>
      </c>
      <c r="N188" s="33">
        <v>8461365000000</v>
      </c>
      <c r="O188" s="27">
        <f t="shared" si="23"/>
        <v>0.4099538313262695</v>
      </c>
      <c r="P188" s="33">
        <v>1034447000000</v>
      </c>
      <c r="Q188" s="33">
        <v>7426918000000</v>
      </c>
      <c r="R188" s="9">
        <f t="shared" si="21"/>
        <v>0.1392834820581027</v>
      </c>
      <c r="S188" s="33">
        <v>8461365000000</v>
      </c>
      <c r="T188" s="9">
        <f t="shared" si="24"/>
        <v>29.7665316240493</v>
      </c>
    </row>
    <row r="189" spans="1:20" x14ac:dyDescent="0.35">
      <c r="A189" s="2">
        <v>58</v>
      </c>
      <c r="B189" s="1" t="s">
        <v>101</v>
      </c>
      <c r="C189" s="1">
        <v>2022</v>
      </c>
      <c r="D189" s="32">
        <v>34633584000000</v>
      </c>
      <c r="E189" s="32">
        <v>30076651000000</v>
      </c>
      <c r="F189" s="32">
        <f t="shared" si="22"/>
        <v>64710235000000</v>
      </c>
      <c r="G189" s="32">
        <v>88562617000000</v>
      </c>
      <c r="H189" s="44">
        <f t="shared" si="27"/>
        <v>0.73067211868863358</v>
      </c>
      <c r="I189" s="26">
        <v>0.55556000000000005</v>
      </c>
      <c r="J189" s="2">
        <v>3</v>
      </c>
      <c r="K189" s="32">
        <v>4407033000000</v>
      </c>
      <c r="L189" s="32">
        <v>88562617000000</v>
      </c>
      <c r="M189" s="32">
        <v>30076651000000</v>
      </c>
      <c r="N189" s="32">
        <v>88562617000000</v>
      </c>
      <c r="O189" s="26">
        <f t="shared" si="23"/>
        <v>0.38937065285683686</v>
      </c>
      <c r="P189" s="32">
        <v>30076651000000</v>
      </c>
      <c r="Q189" s="32">
        <v>57855966000000</v>
      </c>
      <c r="R189" s="8">
        <f t="shared" si="21"/>
        <v>0.51985392483119197</v>
      </c>
      <c r="S189" s="32">
        <v>88562617000000</v>
      </c>
      <c r="T189" s="8">
        <f t="shared" si="24"/>
        <v>32.114730954479491</v>
      </c>
    </row>
    <row r="190" spans="1:20" x14ac:dyDescent="0.35">
      <c r="A190" s="2">
        <v>58</v>
      </c>
      <c r="B190" s="1" t="s">
        <v>101</v>
      </c>
      <c r="C190" s="1">
        <v>2023</v>
      </c>
      <c r="D190" s="32">
        <v>39107088600000</v>
      </c>
      <c r="E190" s="32">
        <v>31587980000000</v>
      </c>
      <c r="F190" s="32">
        <f t="shared" si="22"/>
        <v>70695068600000</v>
      </c>
      <c r="G190" s="32">
        <v>92450823000000</v>
      </c>
      <c r="H190" s="44">
        <f t="shared" si="27"/>
        <v>0.76467754754330308</v>
      </c>
      <c r="I190" s="26">
        <v>0.61111000000000004</v>
      </c>
      <c r="J190" s="2">
        <v>3</v>
      </c>
      <c r="K190" s="32">
        <v>4256264000000</v>
      </c>
      <c r="L190" s="32">
        <v>92450823000000</v>
      </c>
      <c r="M190" s="32">
        <v>31587980000000</v>
      </c>
      <c r="N190" s="32">
        <v>92450823000000</v>
      </c>
      <c r="O190" s="26">
        <f t="shared" si="23"/>
        <v>0.38771146472108742</v>
      </c>
      <c r="P190" s="32">
        <v>31587980000000</v>
      </c>
      <c r="Q190" s="32">
        <v>60862843000000</v>
      </c>
      <c r="R190" s="8">
        <f t="shared" si="21"/>
        <v>0.5190027025191708</v>
      </c>
      <c r="S190" s="32">
        <v>92450823000000</v>
      </c>
      <c r="T190" s="8">
        <f t="shared" si="24"/>
        <v>32.157697975831304</v>
      </c>
    </row>
    <row r="191" spans="1:20" x14ac:dyDescent="0.35">
      <c r="A191" s="3">
        <v>58</v>
      </c>
      <c r="B191" s="4" t="s">
        <v>101</v>
      </c>
      <c r="C191" s="4">
        <v>2024</v>
      </c>
      <c r="D191" s="33">
        <v>25542268200000</v>
      </c>
      <c r="E191" s="33">
        <v>23022685000000</v>
      </c>
      <c r="F191" s="33">
        <f t="shared" si="22"/>
        <v>48564953200000</v>
      </c>
      <c r="G191" s="33">
        <v>84939276000000</v>
      </c>
      <c r="H191" s="45">
        <f t="shared" si="27"/>
        <v>0.57176085654415043</v>
      </c>
      <c r="I191" s="27">
        <v>0.61111000000000004</v>
      </c>
      <c r="J191" s="3">
        <v>3</v>
      </c>
      <c r="K191" s="33">
        <v>3705754000000</v>
      </c>
      <c r="L191" s="33">
        <v>84939276000000</v>
      </c>
      <c r="M191" s="33">
        <v>23022685000000</v>
      </c>
      <c r="N191" s="33">
        <v>84939276000000</v>
      </c>
      <c r="O191" s="27">
        <f t="shared" si="23"/>
        <v>0.31467702879878562</v>
      </c>
      <c r="P191" s="33">
        <v>23002685000000</v>
      </c>
      <c r="Q191" s="33">
        <v>61916591000000</v>
      </c>
      <c r="R191" s="9">
        <f t="shared" si="21"/>
        <v>0.3715108443228084</v>
      </c>
      <c r="S191" s="33">
        <v>84939276000000</v>
      </c>
      <c r="T191" s="9">
        <f t="shared" si="24"/>
        <v>32.072957717113582</v>
      </c>
    </row>
    <row r="192" spans="1:20" x14ac:dyDescent="0.35">
      <c r="B192" s="1" t="s">
        <v>102</v>
      </c>
      <c r="C192" s="1">
        <v>2022</v>
      </c>
      <c r="F192" s="32"/>
      <c r="H192" s="44"/>
      <c r="J192" s="2">
        <v>3</v>
      </c>
    </row>
    <row r="193" spans="1:20" x14ac:dyDescent="0.35">
      <c r="A193" s="2">
        <v>79</v>
      </c>
      <c r="B193" s="1" t="s">
        <v>102</v>
      </c>
      <c r="C193" s="1">
        <v>2023</v>
      </c>
      <c r="F193" s="32"/>
      <c r="H193" s="44"/>
      <c r="J193" s="2">
        <v>3</v>
      </c>
    </row>
    <row r="194" spans="1:20" x14ac:dyDescent="0.35">
      <c r="A194" s="29">
        <v>79</v>
      </c>
      <c r="B194" s="4" t="s">
        <v>102</v>
      </c>
      <c r="C194" s="4">
        <v>2024</v>
      </c>
      <c r="D194" s="33"/>
      <c r="E194" s="33"/>
      <c r="F194" s="33"/>
      <c r="G194" s="33"/>
      <c r="H194" s="45"/>
      <c r="I194" s="27"/>
      <c r="J194" s="3">
        <v>3</v>
      </c>
      <c r="K194" s="33"/>
      <c r="L194" s="33"/>
      <c r="M194" s="33"/>
      <c r="N194" s="33"/>
      <c r="O194" s="48"/>
      <c r="P194" s="33"/>
      <c r="Q194" s="33"/>
      <c r="R194" s="9"/>
      <c r="S194" s="33"/>
      <c r="T194" s="9"/>
    </row>
    <row r="195" spans="1:20" x14ac:dyDescent="0.35">
      <c r="A195" s="2">
        <v>59</v>
      </c>
      <c r="B195" s="1" t="s">
        <v>103</v>
      </c>
      <c r="C195" s="1">
        <v>2022</v>
      </c>
      <c r="D195" s="32">
        <v>96674291000000</v>
      </c>
      <c r="E195" s="32">
        <v>5143984823285</v>
      </c>
      <c r="F195" s="32">
        <f t="shared" si="22"/>
        <v>101818275823285</v>
      </c>
      <c r="G195" s="32">
        <v>27241313025674</v>
      </c>
      <c r="H195" s="44">
        <f t="shared" si="27"/>
        <v>3.7376420045291057</v>
      </c>
      <c r="I195" s="26">
        <v>0.77778000000000003</v>
      </c>
      <c r="J195" s="2">
        <v>4</v>
      </c>
      <c r="K195" s="32">
        <v>3949768854987</v>
      </c>
      <c r="L195" s="32">
        <v>27241313025674</v>
      </c>
      <c r="M195" s="32">
        <v>5143984823285</v>
      </c>
      <c r="N195" s="32">
        <v>27241313025674</v>
      </c>
      <c r="O195" s="26">
        <f>(K195/L195)+(M195/N195)</f>
        <v>0.33382214982447617</v>
      </c>
      <c r="P195" s="32">
        <v>5143984823285</v>
      </c>
      <c r="Q195" s="32">
        <v>22097328202389</v>
      </c>
      <c r="R195" s="8">
        <f t="shared" si="21"/>
        <v>0.23278763731847321</v>
      </c>
      <c r="S195" s="32">
        <v>27241313025674</v>
      </c>
      <c r="T195" s="31">
        <f>LN(S195)</f>
        <v>30.935755798165427</v>
      </c>
    </row>
    <row r="196" spans="1:20" x14ac:dyDescent="0.35">
      <c r="A196" s="2">
        <v>59</v>
      </c>
      <c r="B196" s="1" t="s">
        <v>103</v>
      </c>
      <c r="C196" s="1">
        <v>2023</v>
      </c>
      <c r="D196" s="32">
        <v>74471583000000</v>
      </c>
      <c r="E196" s="32">
        <v>3937546172108</v>
      </c>
      <c r="F196" s="32">
        <f t="shared" si="22"/>
        <v>78409129172108</v>
      </c>
      <c r="G196" s="32">
        <v>27057568182323</v>
      </c>
      <c r="H196" s="44">
        <f t="shared" si="27"/>
        <v>2.8978631281185692</v>
      </c>
      <c r="I196" s="26">
        <v>0.77778000000000003</v>
      </c>
      <c r="J196" s="2">
        <v>5</v>
      </c>
      <c r="K196" s="32">
        <v>3232420596769</v>
      </c>
      <c r="L196" s="32">
        <v>27057568182323</v>
      </c>
      <c r="M196" s="32">
        <v>3937546172108</v>
      </c>
      <c r="N196" s="32">
        <v>27057568182323</v>
      </c>
      <c r="O196" s="26">
        <f t="shared" ref="O196:O220" si="28">(K196/L196)+(M196/N196)</f>
        <v>0.26498932648209</v>
      </c>
      <c r="P196" s="32">
        <v>3937546172108</v>
      </c>
      <c r="Q196" s="32">
        <v>23120022010215</v>
      </c>
      <c r="R196" s="8">
        <f t="shared" si="21"/>
        <v>0.17030892835518471</v>
      </c>
      <c r="S196" s="32">
        <v>27057568182323</v>
      </c>
      <c r="T196" s="8">
        <f t="shared" ref="T196:T215" si="29">LN(S196)</f>
        <v>30.928987867017295</v>
      </c>
    </row>
    <row r="197" spans="1:20" x14ac:dyDescent="0.35">
      <c r="A197" s="3">
        <v>59</v>
      </c>
      <c r="B197" s="4" t="s">
        <v>103</v>
      </c>
      <c r="C197" s="4">
        <v>2024</v>
      </c>
      <c r="D197" s="33">
        <v>63750166000000</v>
      </c>
      <c r="E197" s="33">
        <v>4839294087709</v>
      </c>
      <c r="F197" s="33">
        <f t="shared" si="22"/>
        <v>68589460087709</v>
      </c>
      <c r="G197" s="33">
        <v>29429727898195</v>
      </c>
      <c r="H197" s="45">
        <f t="shared" si="27"/>
        <v>2.3306182213093369</v>
      </c>
      <c r="I197" s="27">
        <v>0.77778000000000003</v>
      </c>
      <c r="J197" s="3">
        <v>4</v>
      </c>
      <c r="K197" s="33">
        <v>4723293839405</v>
      </c>
      <c r="L197" s="33">
        <v>29429727898195</v>
      </c>
      <c r="M197" s="33">
        <v>4839294087709</v>
      </c>
      <c r="N197" s="33">
        <v>29429727898195</v>
      </c>
      <c r="O197" s="27">
        <f>(K197/L197)+(M197/N197)</f>
        <v>0.32492953928060264</v>
      </c>
      <c r="P197" s="33">
        <v>4839294087709</v>
      </c>
      <c r="Q197" s="33">
        <v>24590433810486</v>
      </c>
      <c r="R197" s="9">
        <f t="shared" si="21"/>
        <v>0.19679579974084879</v>
      </c>
      <c r="S197" s="33">
        <v>29429727898195</v>
      </c>
      <c r="T197" s="9">
        <f t="shared" si="29"/>
        <v>31.013026432402171</v>
      </c>
    </row>
    <row r="198" spans="1:20" x14ac:dyDescent="0.35">
      <c r="A198" s="2">
        <v>60</v>
      </c>
      <c r="B198" s="1" t="s">
        <v>104</v>
      </c>
      <c r="C198" s="1">
        <v>2022</v>
      </c>
      <c r="D198" s="32">
        <v>575400000000</v>
      </c>
      <c r="E198" s="32">
        <v>1034464891000</v>
      </c>
      <c r="F198" s="32">
        <f t="shared" si="22"/>
        <v>1609864891000</v>
      </c>
      <c r="G198" s="32">
        <v>1806280965000</v>
      </c>
      <c r="H198" s="44">
        <f t="shared" si="27"/>
        <v>0.89125940105336821</v>
      </c>
      <c r="I198" s="26">
        <v>0.55556000000000005</v>
      </c>
      <c r="J198" s="2">
        <v>3</v>
      </c>
      <c r="K198" s="32">
        <v>147684064000</v>
      </c>
      <c r="L198" s="32">
        <v>1806280965000</v>
      </c>
      <c r="M198" s="32">
        <v>1034464891000</v>
      </c>
      <c r="N198" s="32">
        <v>1806280965000</v>
      </c>
      <c r="O198" s="26">
        <f t="shared" si="28"/>
        <v>0.65446571043281743</v>
      </c>
      <c r="P198" s="32">
        <v>1034464891000</v>
      </c>
      <c r="Q198" s="32">
        <v>771816074000</v>
      </c>
      <c r="R198" s="8">
        <f t="shared" si="21"/>
        <v>1.3402997499634868</v>
      </c>
      <c r="S198" s="32">
        <v>1806280965000</v>
      </c>
      <c r="T198" s="8">
        <f t="shared" si="29"/>
        <v>28.222291131912804</v>
      </c>
    </row>
    <row r="199" spans="1:20" x14ac:dyDescent="0.35">
      <c r="A199" s="2">
        <v>60</v>
      </c>
      <c r="B199" s="1" t="s">
        <v>104</v>
      </c>
      <c r="C199" s="1">
        <v>2023</v>
      </c>
      <c r="D199" s="32">
        <v>575400000000</v>
      </c>
      <c r="E199" s="32">
        <v>1091952149000</v>
      </c>
      <c r="F199" s="32">
        <f t="shared" si="22"/>
        <v>1667352149000</v>
      </c>
      <c r="G199" s="32">
        <v>1765887592000</v>
      </c>
      <c r="H199" s="44">
        <f t="shared" si="27"/>
        <v>0.94420061421440693</v>
      </c>
      <c r="I199" s="26">
        <v>0.55556000000000005</v>
      </c>
      <c r="J199" s="2">
        <v>3</v>
      </c>
      <c r="K199" s="32">
        <v>65836308000</v>
      </c>
      <c r="L199" s="32">
        <v>1765887592000</v>
      </c>
      <c r="M199" s="32">
        <v>1091952149000</v>
      </c>
      <c r="N199" s="32">
        <v>1765887592000</v>
      </c>
      <c r="O199" s="26">
        <f t="shared" si="28"/>
        <v>0.65564108510934027</v>
      </c>
      <c r="P199" s="32">
        <v>1091952149000</v>
      </c>
      <c r="Q199" s="32">
        <v>676756569000</v>
      </c>
      <c r="R199" s="8">
        <f t="shared" si="21"/>
        <v>1.6135080160559181</v>
      </c>
      <c r="S199" s="32">
        <v>1765887592000</v>
      </c>
      <c r="T199" s="8">
        <f t="shared" si="29"/>
        <v>28.199674564895364</v>
      </c>
    </row>
    <row r="200" spans="1:20" x14ac:dyDescent="0.35">
      <c r="A200" s="3">
        <v>60</v>
      </c>
      <c r="B200" s="4" t="s">
        <v>104</v>
      </c>
      <c r="C200" s="4">
        <v>2024</v>
      </c>
      <c r="D200" s="33">
        <v>272160000000</v>
      </c>
      <c r="E200" s="33">
        <v>1036917006000</v>
      </c>
      <c r="F200" s="33">
        <f t="shared" si="22"/>
        <v>1309077006000</v>
      </c>
      <c r="G200" s="33">
        <v>1430039358000</v>
      </c>
      <c r="H200" s="45">
        <f t="shared" si="27"/>
        <v>0.9154132707443986</v>
      </c>
      <c r="I200" s="27">
        <v>0.61111000000000004</v>
      </c>
      <c r="J200" s="3">
        <v>4</v>
      </c>
      <c r="K200" s="33">
        <v>92004255000</v>
      </c>
      <c r="L200" s="33">
        <v>1430039358000</v>
      </c>
      <c r="M200" s="33">
        <v>1036917006000</v>
      </c>
      <c r="N200" s="33">
        <v>1430039358000</v>
      </c>
      <c r="O200" s="27">
        <f t="shared" si="28"/>
        <v>0.7894336996282868</v>
      </c>
      <c r="P200" s="33">
        <v>1036917006000</v>
      </c>
      <c r="Q200" s="33">
        <v>393122351000</v>
      </c>
      <c r="R200" s="9">
        <f t="shared" si="21"/>
        <v>2.6376444976032412</v>
      </c>
      <c r="S200" s="33">
        <v>1430039358000</v>
      </c>
      <c r="T200" s="9">
        <f t="shared" si="29"/>
        <v>27.988723082898534</v>
      </c>
    </row>
    <row r="201" spans="1:20" x14ac:dyDescent="0.35">
      <c r="A201" s="2">
        <v>61</v>
      </c>
      <c r="B201" s="1" t="s">
        <v>105</v>
      </c>
      <c r="C201" s="1">
        <v>2022</v>
      </c>
      <c r="D201" s="32">
        <v>22650000000000</v>
      </c>
      <c r="E201" s="32">
        <v>575967000000</v>
      </c>
      <c r="F201" s="32">
        <f t="shared" si="22"/>
        <v>23225967000000</v>
      </c>
      <c r="G201" s="32">
        <v>4081442000000</v>
      </c>
      <c r="H201" s="44">
        <f t="shared" si="27"/>
        <v>5.6906277242209979</v>
      </c>
      <c r="I201" s="26">
        <v>0.72221999999999997</v>
      </c>
      <c r="J201" s="2">
        <v>5</v>
      </c>
      <c r="K201" s="32">
        <v>923047000000</v>
      </c>
      <c r="L201" s="32">
        <v>4081442000000</v>
      </c>
      <c r="M201" s="32">
        <v>575967000000</v>
      </c>
      <c r="N201" s="32">
        <v>4081442000000</v>
      </c>
      <c r="O201" s="26">
        <f t="shared" si="28"/>
        <v>0.36727558544259598</v>
      </c>
      <c r="P201" s="32">
        <v>575967000000</v>
      </c>
      <c r="Q201" s="32">
        <v>3505475000000</v>
      </c>
      <c r="R201" s="8">
        <f t="shared" si="21"/>
        <v>0.16430498006689537</v>
      </c>
      <c r="S201" s="32">
        <v>4081442000000</v>
      </c>
      <c r="T201" s="8">
        <f t="shared" si="29"/>
        <v>29.037471473275012</v>
      </c>
    </row>
    <row r="202" spans="1:20" x14ac:dyDescent="0.35">
      <c r="A202" s="2">
        <v>61</v>
      </c>
      <c r="B202" s="1" t="s">
        <v>105</v>
      </c>
      <c r="C202" s="1">
        <v>2023</v>
      </c>
      <c r="D202" s="32">
        <v>15750000000000</v>
      </c>
      <c r="E202" s="32">
        <v>504765000000</v>
      </c>
      <c r="F202" s="32">
        <f t="shared" si="22"/>
        <v>16254765000000</v>
      </c>
      <c r="G202" s="32">
        <v>3890706000000</v>
      </c>
      <c r="H202" s="44">
        <f t="shared" si="27"/>
        <v>4.1778445865608971</v>
      </c>
      <c r="I202" s="26">
        <v>0.77778000000000003</v>
      </c>
      <c r="J202" s="2">
        <v>5</v>
      </c>
      <c r="K202" s="32">
        <v>830128000000</v>
      </c>
      <c r="L202" s="32">
        <v>3890706000000</v>
      </c>
      <c r="M202" s="32">
        <v>504765000000</v>
      </c>
      <c r="N202" s="32">
        <v>3890706000000</v>
      </c>
      <c r="O202" s="26">
        <f t="shared" si="28"/>
        <v>0.34309788506250538</v>
      </c>
      <c r="P202" s="32">
        <v>504765000000</v>
      </c>
      <c r="Q202" s="32">
        <v>3385941000000</v>
      </c>
      <c r="R202" s="8">
        <f t="shared" si="21"/>
        <v>0.14907672638123345</v>
      </c>
      <c r="S202" s="32">
        <v>3890706000000</v>
      </c>
      <c r="T202" s="8">
        <f>LN(S202)</f>
        <v>28.989611748093974</v>
      </c>
    </row>
    <row r="203" spans="1:20" x14ac:dyDescent="0.35">
      <c r="A203" s="3">
        <v>61</v>
      </c>
      <c r="B203" s="4" t="s">
        <v>105</v>
      </c>
      <c r="C203" s="4">
        <v>2024</v>
      </c>
      <c r="D203" s="33">
        <v>17700000000000</v>
      </c>
      <c r="E203" s="33">
        <v>451781000000</v>
      </c>
      <c r="F203" s="33">
        <f t="shared" si="22"/>
        <v>18151781000000</v>
      </c>
      <c r="G203" s="33">
        <v>3939625000000</v>
      </c>
      <c r="H203" s="45">
        <f t="shared" si="27"/>
        <v>4.6074895453247455</v>
      </c>
      <c r="I203" s="27">
        <v>0.77778000000000003</v>
      </c>
      <c r="J203" s="3">
        <v>3</v>
      </c>
      <c r="K203" s="33">
        <v>855569000000</v>
      </c>
      <c r="L203" s="33">
        <v>3939625000000</v>
      </c>
      <c r="M203" s="33">
        <v>451781000000</v>
      </c>
      <c r="N203" s="33">
        <v>3939625000000</v>
      </c>
      <c r="O203" s="27">
        <f t="shared" si="28"/>
        <v>0.33184630516863917</v>
      </c>
      <c r="P203" s="33">
        <v>451781000000</v>
      </c>
      <c r="Q203" s="33">
        <v>3487844000000</v>
      </c>
      <c r="R203" s="9">
        <f t="shared" si="21"/>
        <v>0.12953016247286289</v>
      </c>
      <c r="S203" s="33">
        <v>3939625000000</v>
      </c>
      <c r="T203" s="9">
        <f t="shared" si="29"/>
        <v>29.002106657043736</v>
      </c>
    </row>
    <row r="204" spans="1:20" x14ac:dyDescent="0.35">
      <c r="A204" s="2">
        <v>62</v>
      </c>
      <c r="B204" s="1" t="s">
        <v>106</v>
      </c>
      <c r="C204" s="1">
        <v>2022</v>
      </c>
      <c r="D204" s="32">
        <v>2192857252500</v>
      </c>
      <c r="E204" s="32">
        <v>3142551744669</v>
      </c>
      <c r="F204" s="32">
        <f t="shared" si="22"/>
        <v>5335408997169</v>
      </c>
      <c r="G204" s="32">
        <v>4676372045095</v>
      </c>
      <c r="H204" s="44">
        <f t="shared" si="27"/>
        <v>1.1409291103699197</v>
      </c>
      <c r="I204" s="26">
        <v>0.72221999999999997</v>
      </c>
      <c r="J204" s="2">
        <v>3</v>
      </c>
      <c r="K204" s="32">
        <v>194557791747</v>
      </c>
      <c r="L204" s="32">
        <v>4676372045095</v>
      </c>
      <c r="M204" s="32">
        <v>3142551744669</v>
      </c>
      <c r="N204" s="32">
        <v>4676372045095</v>
      </c>
      <c r="O204" s="26">
        <f t="shared" si="28"/>
        <v>0.71361078721618421</v>
      </c>
      <c r="P204" s="32">
        <v>3142551744669</v>
      </c>
      <c r="Q204" s="32">
        <v>1533820300426</v>
      </c>
      <c r="R204" s="8">
        <f t="shared" si="21"/>
        <v>2.048839582965615</v>
      </c>
      <c r="S204" s="32">
        <v>4676372045095</v>
      </c>
      <c r="T204" s="8">
        <f t="shared" si="29"/>
        <v>29.173543721192548</v>
      </c>
    </row>
    <row r="205" spans="1:20" x14ac:dyDescent="0.35">
      <c r="A205" s="2">
        <v>62</v>
      </c>
      <c r="B205" s="1" t="s">
        <v>106</v>
      </c>
      <c r="C205" s="1">
        <v>2023</v>
      </c>
      <c r="D205" s="32">
        <v>1744205908500</v>
      </c>
      <c r="E205" s="32">
        <v>3027648359660</v>
      </c>
      <c r="F205" s="32">
        <f t="shared" si="22"/>
        <v>4771854268160</v>
      </c>
      <c r="G205" s="32">
        <v>4646378817802</v>
      </c>
      <c r="H205" s="44">
        <f t="shared" si="27"/>
        <v>1.0270049979302713</v>
      </c>
      <c r="I205" s="26">
        <v>0.77778000000000003</v>
      </c>
      <c r="J205" s="2">
        <v>3</v>
      </c>
      <c r="K205" s="32">
        <v>166445607635</v>
      </c>
      <c r="L205" s="32">
        <v>4646378817802</v>
      </c>
      <c r="M205" s="32">
        <v>3027648359660</v>
      </c>
      <c r="N205" s="32">
        <v>4646378817802</v>
      </c>
      <c r="O205" s="26">
        <f t="shared" si="28"/>
        <v>0.68743726944028793</v>
      </c>
      <c r="P205" s="32">
        <v>3027648359660</v>
      </c>
      <c r="Q205" s="32">
        <v>1618730458142</v>
      </c>
      <c r="R205" s="8">
        <f t="shared" si="21"/>
        <v>1.8703845006630533</v>
      </c>
      <c r="S205" s="32">
        <v>4646378817802</v>
      </c>
      <c r="T205" s="8">
        <f t="shared" si="29"/>
        <v>29.167109283285619</v>
      </c>
    </row>
    <row r="206" spans="1:20" x14ac:dyDescent="0.35">
      <c r="A206" s="3">
        <v>62</v>
      </c>
      <c r="B206" s="4" t="s">
        <v>106</v>
      </c>
      <c r="C206" s="4">
        <v>2024</v>
      </c>
      <c r="D206" s="33">
        <v>1714285800000</v>
      </c>
      <c r="E206" s="33">
        <v>2851025198999</v>
      </c>
      <c r="F206" s="33">
        <f t="shared" si="22"/>
        <v>4565310998999</v>
      </c>
      <c r="G206" s="33">
        <v>4501385830768</v>
      </c>
      <c r="H206" s="45">
        <f t="shared" si="27"/>
        <v>1.0142012194986834</v>
      </c>
      <c r="I206" s="27">
        <v>0.77778000000000003</v>
      </c>
      <c r="J206" s="3">
        <v>2</v>
      </c>
      <c r="K206" s="33">
        <v>121213419883</v>
      </c>
      <c r="L206" s="33">
        <v>4501385830768</v>
      </c>
      <c r="M206" s="33">
        <v>2851025198999</v>
      </c>
      <c r="N206" s="33">
        <v>4501385830768</v>
      </c>
      <c r="O206" s="27">
        <f t="shared" si="28"/>
        <v>0.66029412510388918</v>
      </c>
      <c r="P206" s="33">
        <v>2851025198999</v>
      </c>
      <c r="Q206" s="33">
        <v>1650360631769</v>
      </c>
      <c r="R206" s="9">
        <f t="shared" si="21"/>
        <v>1.7275164858622587</v>
      </c>
      <c r="S206" s="33">
        <v>4501385830768</v>
      </c>
      <c r="T206" s="9">
        <f>LN(S206)</f>
        <v>29.135406427687027</v>
      </c>
    </row>
    <row r="207" spans="1:20" x14ac:dyDescent="0.35">
      <c r="A207" s="2">
        <v>63</v>
      </c>
      <c r="B207" s="1" t="s">
        <v>108</v>
      </c>
      <c r="C207" s="1">
        <v>2022</v>
      </c>
      <c r="D207" s="32">
        <v>327420000000</v>
      </c>
      <c r="E207" s="32">
        <v>283395035571</v>
      </c>
      <c r="F207" s="32">
        <f t="shared" si="22"/>
        <v>610815035571</v>
      </c>
      <c r="G207" s="32">
        <v>694780597799</v>
      </c>
      <c r="H207" s="44">
        <f t="shared" si="27"/>
        <v>0.87914809006757666</v>
      </c>
      <c r="I207" s="26">
        <v>0.72221999999999997</v>
      </c>
      <c r="J207" s="2">
        <v>3</v>
      </c>
      <c r="K207" s="32">
        <v>177143354144</v>
      </c>
      <c r="L207" s="32">
        <v>694780597799</v>
      </c>
      <c r="M207" s="32">
        <v>283395035571</v>
      </c>
      <c r="N207" s="32">
        <v>694780597799</v>
      </c>
      <c r="O207" s="26">
        <f t="shared" si="28"/>
        <v>0.66285441932883926</v>
      </c>
      <c r="P207" s="32">
        <v>283395035571</v>
      </c>
      <c r="Q207" s="32">
        <v>411385562228</v>
      </c>
      <c r="R207" s="8">
        <f t="shared" si="21"/>
        <v>0.68887939099315176</v>
      </c>
      <c r="S207" s="32">
        <v>694780597799</v>
      </c>
      <c r="T207" s="8">
        <f t="shared" si="29"/>
        <v>27.266861946051549</v>
      </c>
    </row>
    <row r="208" spans="1:20" x14ac:dyDescent="0.35">
      <c r="A208" s="2">
        <v>63</v>
      </c>
      <c r="B208" s="1" t="s">
        <v>108</v>
      </c>
      <c r="C208" s="1">
        <v>2023</v>
      </c>
      <c r="D208" s="32">
        <v>158360000000</v>
      </c>
      <c r="E208" s="32">
        <v>232316210715</v>
      </c>
      <c r="F208" s="32">
        <f t="shared" si="22"/>
        <v>390676210715</v>
      </c>
      <c r="G208" s="32">
        <v>634207335645</v>
      </c>
      <c r="H208" s="44">
        <f t="shared" si="27"/>
        <v>0.61600708279048122</v>
      </c>
      <c r="I208" s="26">
        <v>0.72221999999999997</v>
      </c>
      <c r="J208" s="2">
        <v>2</v>
      </c>
      <c r="K208" s="32">
        <v>122637631147</v>
      </c>
      <c r="L208" s="32">
        <v>634207335645</v>
      </c>
      <c r="M208" s="32">
        <v>232316210715</v>
      </c>
      <c r="N208" s="32">
        <v>634207335645</v>
      </c>
      <c r="O208" s="26">
        <f t="shared" si="28"/>
        <v>0.55968107259592914</v>
      </c>
      <c r="P208" s="32">
        <v>231316210715</v>
      </c>
      <c r="Q208" s="32">
        <v>401891124930</v>
      </c>
      <c r="R208" s="8">
        <f t="shared" si="21"/>
        <v>0.57556934295398998</v>
      </c>
      <c r="S208" s="32">
        <v>634207335645</v>
      </c>
      <c r="T208" s="8">
        <f t="shared" si="29"/>
        <v>27.175641765752921</v>
      </c>
    </row>
    <row r="209" spans="1:20" x14ac:dyDescent="0.35">
      <c r="A209" s="3">
        <v>63</v>
      </c>
      <c r="B209" s="4" t="s">
        <v>108</v>
      </c>
      <c r="C209" s="4">
        <v>2024</v>
      </c>
      <c r="D209" s="33">
        <v>130968000000</v>
      </c>
      <c r="E209" s="33">
        <v>244780362194</v>
      </c>
      <c r="F209" s="33">
        <f t="shared" si="22"/>
        <v>375748362194</v>
      </c>
      <c r="G209" s="33">
        <v>818435708264</v>
      </c>
      <c r="H209" s="45">
        <f t="shared" si="27"/>
        <v>0.45910553315300379</v>
      </c>
      <c r="I209" s="27">
        <v>0.66666999999999998</v>
      </c>
      <c r="J209" s="3">
        <v>3</v>
      </c>
      <c r="K209" s="33">
        <v>119278865202</v>
      </c>
      <c r="L209" s="33">
        <v>818435708264</v>
      </c>
      <c r="M209" s="33">
        <v>244780362194</v>
      </c>
      <c r="N209" s="33">
        <v>818435708264</v>
      </c>
      <c r="O209" s="27">
        <f t="shared" si="28"/>
        <v>0.44482324478267588</v>
      </c>
      <c r="P209" s="33">
        <v>244780362194</v>
      </c>
      <c r="Q209" s="33">
        <v>573655346070</v>
      </c>
      <c r="R209" s="9">
        <f t="shared" si="21"/>
        <v>0.426702834499743</v>
      </c>
      <c r="S209" s="33">
        <v>818435708264</v>
      </c>
      <c r="T209" s="9">
        <f t="shared" si="29"/>
        <v>27.43066068243062</v>
      </c>
    </row>
    <row r="210" spans="1:20" x14ac:dyDescent="0.35">
      <c r="A210" s="2">
        <v>64</v>
      </c>
      <c r="B210" s="1" t="s">
        <v>107</v>
      </c>
      <c r="C210" s="1">
        <v>2022</v>
      </c>
      <c r="D210" s="32">
        <v>179305000000000</v>
      </c>
      <c r="E210" s="32">
        <v>14320858000000</v>
      </c>
      <c r="F210" s="32">
        <f t="shared" si="22"/>
        <v>193625858000000</v>
      </c>
      <c r="G210" s="32">
        <v>18318114000000</v>
      </c>
      <c r="H210" s="44">
        <f t="shared" si="27"/>
        <v>10.57018522758402</v>
      </c>
      <c r="I210" s="26">
        <v>0.72221999999999997</v>
      </c>
      <c r="J210" s="2">
        <v>3</v>
      </c>
      <c r="K210" s="32">
        <v>502882000000</v>
      </c>
      <c r="L210" s="32">
        <v>18318114000000</v>
      </c>
      <c r="M210" s="32">
        <v>14320858000000</v>
      </c>
      <c r="N210" s="32">
        <v>18318114000000</v>
      </c>
      <c r="O210" s="26">
        <f t="shared" si="28"/>
        <v>0.80923942279210626</v>
      </c>
      <c r="P210" s="32">
        <v>14320858000000</v>
      </c>
      <c r="Q210" s="32">
        <v>3997256000000</v>
      </c>
      <c r="R210" s="8">
        <f t="shared" si="21"/>
        <v>3.5826722131382129</v>
      </c>
      <c r="S210" s="32">
        <v>18318114000000</v>
      </c>
      <c r="T210" s="8">
        <f t="shared" si="29"/>
        <v>30.538911522276813</v>
      </c>
    </row>
    <row r="211" spans="1:20" x14ac:dyDescent="0.35">
      <c r="A211" s="2">
        <v>64</v>
      </c>
      <c r="B211" s="1" t="s">
        <v>107</v>
      </c>
      <c r="C211" s="1">
        <v>2023</v>
      </c>
      <c r="D211" s="32">
        <v>134669500000000</v>
      </c>
      <c r="E211" s="32">
        <v>13282848000000</v>
      </c>
      <c r="F211" s="32">
        <f t="shared" si="22"/>
        <v>147952348000000</v>
      </c>
      <c r="G211" s="32">
        <v>16664086000000</v>
      </c>
      <c r="H211" s="44">
        <f t="shared" si="27"/>
        <v>8.8785156293600505</v>
      </c>
      <c r="I211" s="26">
        <v>0.77778000000000003</v>
      </c>
      <c r="J211" s="2">
        <v>3</v>
      </c>
      <c r="K211" s="32">
        <v>1020598000000</v>
      </c>
      <c r="L211" s="32">
        <v>16664086000000</v>
      </c>
      <c r="M211" s="32">
        <v>13282848000000</v>
      </c>
      <c r="N211" s="32">
        <v>16664986000000</v>
      </c>
      <c r="O211" s="26">
        <f t="shared" si="28"/>
        <v>0.85829661788056166</v>
      </c>
      <c r="P211" s="32">
        <v>13282848000000</v>
      </c>
      <c r="Q211" s="32">
        <v>3381238000000</v>
      </c>
      <c r="R211" s="8">
        <f t="shared" si="21"/>
        <v>3.9283978235190777</v>
      </c>
      <c r="S211" s="32">
        <v>16664986000000</v>
      </c>
      <c r="T211" s="8">
        <f t="shared" si="29"/>
        <v>30.444330987603891</v>
      </c>
    </row>
    <row r="212" spans="1:20" x14ac:dyDescent="0.35">
      <c r="A212" s="3">
        <v>64</v>
      </c>
      <c r="B212" s="4" t="s">
        <v>107</v>
      </c>
      <c r="C212" s="4">
        <v>2024</v>
      </c>
      <c r="D212" s="33">
        <v>71912750000000</v>
      </c>
      <c r="E212" s="33">
        <v>13896928000000</v>
      </c>
      <c r="F212" s="33">
        <f t="shared" si="22"/>
        <v>85809678000000</v>
      </c>
      <c r="G212" s="33">
        <v>16046195000000</v>
      </c>
      <c r="H212" s="45">
        <f t="shared" si="27"/>
        <v>5.347665162987238</v>
      </c>
      <c r="I212" s="27">
        <v>0.77778000000000003</v>
      </c>
      <c r="J212" s="3">
        <v>3</v>
      </c>
      <c r="K212" s="33">
        <v>67180000000</v>
      </c>
      <c r="L212" s="33">
        <v>16046195000000</v>
      </c>
      <c r="M212" s="33">
        <v>13896928000000</v>
      </c>
      <c r="N212" s="33">
        <v>16046195000000</v>
      </c>
      <c r="O212" s="27">
        <f t="shared" si="28"/>
        <v>0.87024419184735069</v>
      </c>
      <c r="P212" s="33">
        <v>13896928000000</v>
      </c>
      <c r="Q212" s="33">
        <v>2149267000000</v>
      </c>
      <c r="R212" s="9">
        <f t="shared" si="21"/>
        <v>6.4658918598759483</v>
      </c>
      <c r="S212" s="33">
        <v>16046195000000</v>
      </c>
      <c r="T212" s="9">
        <f t="shared" si="29"/>
        <v>30.406492865747555</v>
      </c>
    </row>
    <row r="213" spans="1:20" x14ac:dyDescent="0.35">
      <c r="A213" s="2">
        <v>65</v>
      </c>
      <c r="B213" s="1" t="s">
        <v>109</v>
      </c>
      <c r="C213" s="1">
        <v>2022</v>
      </c>
      <c r="D213" s="32">
        <v>3421080000000</v>
      </c>
      <c r="E213" s="32">
        <v>349890773776</v>
      </c>
      <c r="F213" s="32">
        <f t="shared" si="22"/>
        <v>3770970773776</v>
      </c>
      <c r="G213" s="32">
        <v>1150904222886</v>
      </c>
      <c r="H213" s="44">
        <f t="shared" si="27"/>
        <v>3.2765287491255686</v>
      </c>
      <c r="I213" s="26">
        <v>0.72221999999999997</v>
      </c>
      <c r="J213" s="2">
        <v>3</v>
      </c>
      <c r="K213" s="32">
        <v>5715909424</v>
      </c>
      <c r="L213" s="32">
        <v>1150904222886</v>
      </c>
      <c r="M213" s="32">
        <v>349890773776</v>
      </c>
      <c r="N213" s="32">
        <v>1150904222886</v>
      </c>
      <c r="O213" s="26">
        <f t="shared" si="28"/>
        <v>0.30898025754765501</v>
      </c>
      <c r="P213" s="32">
        <v>349890773776</v>
      </c>
      <c r="Q213" s="32">
        <v>801013449120</v>
      </c>
      <c r="R213" s="8">
        <f t="shared" si="21"/>
        <v>0.43681011119150731</v>
      </c>
      <c r="S213" s="32">
        <v>1150904222886</v>
      </c>
      <c r="T213" s="8">
        <f t="shared" si="29"/>
        <v>27.771569030117359</v>
      </c>
    </row>
    <row r="214" spans="1:20" x14ac:dyDescent="0.35">
      <c r="A214" s="2">
        <v>65</v>
      </c>
      <c r="B214" s="1" t="s">
        <v>109</v>
      </c>
      <c r="C214" s="1">
        <v>2023</v>
      </c>
      <c r="D214" s="32">
        <v>4360200000000</v>
      </c>
      <c r="E214" s="32">
        <v>229498076801</v>
      </c>
      <c r="F214" s="32">
        <f t="shared" si="22"/>
        <v>4589698076801</v>
      </c>
      <c r="G214" s="32">
        <v>1148235338153</v>
      </c>
      <c r="H214" s="44">
        <f t="shared" si="27"/>
        <v>3.9971754258876784</v>
      </c>
      <c r="I214" s="26">
        <v>0.77778000000000003</v>
      </c>
      <c r="J214" s="2">
        <v>3</v>
      </c>
      <c r="K214" s="32">
        <v>7465058637</v>
      </c>
      <c r="L214" s="32">
        <v>1148235338153</v>
      </c>
      <c r="M214" s="32">
        <v>229498076801</v>
      </c>
      <c r="N214" s="32">
        <v>1148235338153</v>
      </c>
      <c r="O214" s="26">
        <f t="shared" si="28"/>
        <v>0.20637157520266561</v>
      </c>
      <c r="P214" s="32">
        <v>229498076801</v>
      </c>
      <c r="Q214" s="32">
        <v>918737261352</v>
      </c>
      <c r="R214" s="8">
        <f t="shared" si="21"/>
        <v>0.24979728857766589</v>
      </c>
      <c r="S214" s="32">
        <v>1148235338153</v>
      </c>
      <c r="T214" s="8">
        <f t="shared" si="29"/>
        <v>27.769247391207738</v>
      </c>
    </row>
    <row r="215" spans="1:20" x14ac:dyDescent="0.35">
      <c r="A215" s="3">
        <v>65</v>
      </c>
      <c r="B215" s="4" t="s">
        <v>109</v>
      </c>
      <c r="C215" s="4">
        <v>2024</v>
      </c>
      <c r="D215" s="33">
        <v>4393740000000</v>
      </c>
      <c r="E215" s="33">
        <v>261064980740</v>
      </c>
      <c r="F215" s="33">
        <f t="shared" si="22"/>
        <v>4654804980740</v>
      </c>
      <c r="G215" s="33">
        <v>1284957443404</v>
      </c>
      <c r="H215" s="45">
        <f>F215/G215</f>
        <v>3.6225362984854086</v>
      </c>
      <c r="I215" s="27">
        <v>0.77778000000000003</v>
      </c>
      <c r="J215" s="3">
        <v>3</v>
      </c>
      <c r="K215" s="33">
        <v>2346960846</v>
      </c>
      <c r="L215" s="33">
        <v>1284957443404</v>
      </c>
      <c r="M215" s="33">
        <v>261064980740</v>
      </c>
      <c r="N215" s="33">
        <v>1284957443404</v>
      </c>
      <c r="O215" s="27">
        <f t="shared" si="28"/>
        <v>0.20499662688298179</v>
      </c>
      <c r="P215" s="33">
        <v>261064980740</v>
      </c>
      <c r="Q215" s="33">
        <v>1023892462664</v>
      </c>
      <c r="R215" s="9">
        <f t="shared" si="21"/>
        <v>0.25497304674042798</v>
      </c>
      <c r="S215" s="33">
        <v>1284957443404</v>
      </c>
      <c r="T215" s="9">
        <f t="shared" si="29"/>
        <v>27.881746715753778</v>
      </c>
    </row>
    <row r="216" spans="1:20" x14ac:dyDescent="0.35">
      <c r="B216" s="54" t="s">
        <v>166</v>
      </c>
      <c r="F216" s="32"/>
      <c r="H216" s="44"/>
      <c r="O216" s="26"/>
    </row>
    <row r="217" spans="1:20" x14ac:dyDescent="0.35">
      <c r="A217" s="3"/>
      <c r="B217" s="4"/>
      <c r="C217" s="4"/>
      <c r="D217" s="33"/>
      <c r="E217" s="33"/>
      <c r="F217" s="33"/>
      <c r="G217" s="33"/>
      <c r="H217" s="45"/>
      <c r="I217" s="27"/>
      <c r="J217" s="3"/>
      <c r="K217" s="33"/>
      <c r="L217" s="33"/>
      <c r="M217" s="33"/>
      <c r="N217" s="33"/>
      <c r="O217" s="27"/>
      <c r="P217" s="33"/>
      <c r="Q217" s="33"/>
      <c r="R217" s="9"/>
      <c r="S217" s="33"/>
      <c r="T217" s="9"/>
    </row>
    <row r="218" spans="1:20" ht="15" customHeight="1" x14ac:dyDescent="0.35">
      <c r="A218" s="2">
        <v>66</v>
      </c>
      <c r="B218" s="1" t="s">
        <v>165</v>
      </c>
      <c r="C218" s="1">
        <v>2022</v>
      </c>
      <c r="D218" s="32">
        <v>234000000000</v>
      </c>
      <c r="E218" s="32">
        <v>151998653563</v>
      </c>
      <c r="F218" s="32">
        <f>D218+E218</f>
        <v>385998653563</v>
      </c>
      <c r="G218" s="32">
        <v>492056440058</v>
      </c>
      <c r="H218" s="44">
        <f>F218/G218</f>
        <v>0.7844601190820738</v>
      </c>
      <c r="I218" s="26">
        <v>0.66666999999999998</v>
      </c>
      <c r="J218" s="2">
        <v>3</v>
      </c>
      <c r="K218" s="32">
        <v>34723030678</v>
      </c>
      <c r="L218" s="32">
        <v>492056440058</v>
      </c>
      <c r="M218" s="32">
        <v>151998653563</v>
      </c>
      <c r="N218" s="32">
        <v>492056440058</v>
      </c>
      <c r="O218" s="26">
        <f t="shared" si="28"/>
        <v>0.37947208702113644</v>
      </c>
      <c r="P218" s="32">
        <v>151998653563</v>
      </c>
      <c r="Q218" s="32">
        <v>340057786495</v>
      </c>
      <c r="R218" s="31">
        <f>P218/Q218</f>
        <v>0.44697889476274322</v>
      </c>
      <c r="S218" s="32">
        <v>492056440058</v>
      </c>
      <c r="T218" s="31">
        <f>LN(S218)</f>
        <v>26.921859262424434</v>
      </c>
    </row>
    <row r="219" spans="1:20" x14ac:dyDescent="0.35">
      <c r="A219" s="2">
        <v>66</v>
      </c>
      <c r="B219" s="1" t="s">
        <v>165</v>
      </c>
      <c r="C219" s="1">
        <v>2023</v>
      </c>
      <c r="D219" s="32">
        <v>165000000000</v>
      </c>
      <c r="E219" s="32">
        <v>153217515536</v>
      </c>
      <c r="F219" s="32">
        <f t="shared" ref="F219:F220" si="30">D219+E219</f>
        <v>318217515536</v>
      </c>
      <c r="G219" s="32">
        <v>445283742713</v>
      </c>
      <c r="H219" s="44">
        <f t="shared" ref="H219:H220" si="31">F219/G219</f>
        <v>0.71463986894554477</v>
      </c>
      <c r="I219" s="26">
        <v>0.66666999999999998</v>
      </c>
      <c r="J219" s="2">
        <v>3</v>
      </c>
      <c r="K219" s="32">
        <v>29815840686</v>
      </c>
      <c r="L219" s="32">
        <v>445283742713</v>
      </c>
      <c r="M219" s="32">
        <v>153217515536</v>
      </c>
      <c r="N219" s="32">
        <v>445283742713</v>
      </c>
      <c r="O219" s="26">
        <f t="shared" si="28"/>
        <v>0.4110488182362656</v>
      </c>
      <c r="P219" s="32">
        <v>153217515536</v>
      </c>
      <c r="Q219" s="32">
        <v>292066227177</v>
      </c>
      <c r="R219" s="8">
        <f t="shared" ref="R219:R220" si="32">P219/Q219</f>
        <v>0.52459853717748084</v>
      </c>
      <c r="S219" s="32">
        <v>445283742713</v>
      </c>
      <c r="T219" s="8">
        <f t="shared" ref="T219:T220" si="33">LN(S219)</f>
        <v>26.82197753999095</v>
      </c>
    </row>
    <row r="220" spans="1:20" x14ac:dyDescent="0.35">
      <c r="A220" s="3">
        <v>66</v>
      </c>
      <c r="B220" s="4" t="s">
        <v>165</v>
      </c>
      <c r="C220" s="4">
        <v>2024</v>
      </c>
      <c r="D220" s="33">
        <v>186000000000</v>
      </c>
      <c r="E220" s="33">
        <v>125460038929</v>
      </c>
      <c r="F220" s="33">
        <f t="shared" si="30"/>
        <v>311460038929</v>
      </c>
      <c r="G220" s="33">
        <v>428616854532</v>
      </c>
      <c r="H220" s="45">
        <f t="shared" si="31"/>
        <v>0.72666306897585331</v>
      </c>
      <c r="I220" s="27">
        <v>0.66666999999999998</v>
      </c>
      <c r="J220" s="3">
        <v>3</v>
      </c>
      <c r="K220" s="33">
        <v>42191587302</v>
      </c>
      <c r="L220" s="33">
        <v>428616854532</v>
      </c>
      <c r="M220" s="33">
        <v>125460038929</v>
      </c>
      <c r="N220" s="33">
        <v>428616854532</v>
      </c>
      <c r="O220" s="27">
        <f t="shared" si="28"/>
        <v>0.39114566881429841</v>
      </c>
      <c r="P220" s="33">
        <v>125460038929</v>
      </c>
      <c r="Q220" s="33">
        <v>303156815603</v>
      </c>
      <c r="R220" s="9">
        <f t="shared" si="32"/>
        <v>0.41384535155329183</v>
      </c>
      <c r="S220" s="33">
        <v>428616854532</v>
      </c>
      <c r="T220" s="9">
        <f t="shared" si="33"/>
        <v>26.783829243832386</v>
      </c>
    </row>
    <row r="221" spans="1:20" x14ac:dyDescent="0.35">
      <c r="A221" s="1"/>
      <c r="J221" s="1"/>
    </row>
    <row r="222" spans="1:20" x14ac:dyDescent="0.35">
      <c r="A222" s="1"/>
      <c r="J222" s="1"/>
    </row>
    <row r="223" spans="1:20" x14ac:dyDescent="0.35">
      <c r="A223" s="1"/>
      <c r="J223" s="1"/>
    </row>
    <row r="224" spans="1:20" x14ac:dyDescent="0.35">
      <c r="A224" s="1"/>
      <c r="J224" s="1"/>
    </row>
    <row r="225" spans="1:10" x14ac:dyDescent="0.35">
      <c r="A225" s="1"/>
      <c r="J225" s="1"/>
    </row>
    <row r="226" spans="1:10" x14ac:dyDescent="0.35">
      <c r="A226" s="1"/>
      <c r="J226" s="1"/>
    </row>
    <row r="227" spans="1:10" x14ac:dyDescent="0.35">
      <c r="A227" s="1"/>
      <c r="J227" s="1"/>
    </row>
    <row r="228" spans="1:10" x14ac:dyDescent="0.35">
      <c r="A228" s="1"/>
      <c r="J228" s="1"/>
    </row>
    <row r="229" spans="1:10" x14ac:dyDescent="0.35">
      <c r="A229" s="1"/>
      <c r="J229" s="1"/>
    </row>
    <row r="230" spans="1:10" x14ac:dyDescent="0.35">
      <c r="A230" s="1"/>
      <c r="J230" s="1"/>
    </row>
    <row r="231" spans="1:10" x14ac:dyDescent="0.35">
      <c r="A231" s="1"/>
      <c r="J231" s="1"/>
    </row>
    <row r="232" spans="1:10" x14ac:dyDescent="0.35">
      <c r="A232" s="1"/>
      <c r="J232" s="1"/>
    </row>
    <row r="233" spans="1:10" x14ac:dyDescent="0.35">
      <c r="A233" s="1"/>
      <c r="J233" s="1"/>
    </row>
    <row r="234" spans="1:10" x14ac:dyDescent="0.35">
      <c r="A234" s="1"/>
      <c r="J234" s="1"/>
    </row>
    <row r="235" spans="1:10" x14ac:dyDescent="0.35">
      <c r="A235" s="1"/>
      <c r="J235" s="1"/>
    </row>
    <row r="236" spans="1:10" x14ac:dyDescent="0.35">
      <c r="A236" s="1"/>
      <c r="J236" s="1"/>
    </row>
    <row r="237" spans="1:10" x14ac:dyDescent="0.35">
      <c r="A237" s="1"/>
      <c r="J237" s="1"/>
    </row>
    <row r="238" spans="1:10" x14ac:dyDescent="0.35">
      <c r="A238" s="1"/>
      <c r="J238" s="1"/>
    </row>
    <row r="239" spans="1:10" x14ac:dyDescent="0.35">
      <c r="A239" s="1"/>
      <c r="J239" s="1"/>
    </row>
    <row r="240" spans="1:10" x14ac:dyDescent="0.35">
      <c r="A240" s="1"/>
      <c r="J240" s="1"/>
    </row>
    <row r="241" spans="1:10" x14ac:dyDescent="0.35">
      <c r="A241" s="1"/>
      <c r="J241" s="1"/>
    </row>
    <row r="242" spans="1:10" x14ac:dyDescent="0.35">
      <c r="A242" s="1"/>
      <c r="J242" s="1"/>
    </row>
    <row r="243" spans="1:10" x14ac:dyDescent="0.35">
      <c r="A243" s="1"/>
      <c r="J243" s="1"/>
    </row>
    <row r="244" spans="1:10" x14ac:dyDescent="0.35">
      <c r="A244" s="1"/>
      <c r="J244" s="1"/>
    </row>
    <row r="245" spans="1:10" x14ac:dyDescent="0.35">
      <c r="A245" s="1"/>
      <c r="J245" s="1"/>
    </row>
    <row r="246" spans="1:10" x14ac:dyDescent="0.35">
      <c r="A246" s="1"/>
      <c r="J246" s="1"/>
    </row>
    <row r="247" spans="1:10" x14ac:dyDescent="0.35">
      <c r="A247" s="1"/>
      <c r="J247" s="1"/>
    </row>
    <row r="248" spans="1:10" x14ac:dyDescent="0.35">
      <c r="A248" s="1"/>
      <c r="J248" s="1"/>
    </row>
    <row r="249" spans="1:10" x14ac:dyDescent="0.35">
      <c r="A249" s="1"/>
      <c r="J249" s="1"/>
    </row>
    <row r="250" spans="1:10" x14ac:dyDescent="0.35">
      <c r="A250" s="1"/>
      <c r="J250" s="1"/>
    </row>
    <row r="251" spans="1:10" x14ac:dyDescent="0.35">
      <c r="A251" s="1"/>
      <c r="J251" s="1"/>
    </row>
    <row r="252" spans="1:10" x14ac:dyDescent="0.35">
      <c r="A252" s="1"/>
      <c r="J252" s="1"/>
    </row>
    <row r="253" spans="1:10" x14ac:dyDescent="0.35">
      <c r="A253" s="1"/>
      <c r="J253" s="1"/>
    </row>
    <row r="254" spans="1:10" x14ac:dyDescent="0.35">
      <c r="A254" s="1"/>
      <c r="J254" s="1"/>
    </row>
    <row r="255" spans="1:10" x14ac:dyDescent="0.35">
      <c r="A255" s="1"/>
      <c r="J255" s="1"/>
    </row>
    <row r="256" spans="1:10" x14ac:dyDescent="0.35">
      <c r="A256" s="1"/>
      <c r="J256" s="1"/>
    </row>
    <row r="257" spans="1:10" x14ac:dyDescent="0.35">
      <c r="A257" s="1"/>
      <c r="J257" s="1"/>
    </row>
    <row r="258" spans="1:10" x14ac:dyDescent="0.35">
      <c r="A258" s="1"/>
      <c r="J258" s="1"/>
    </row>
    <row r="259" spans="1:10" x14ac:dyDescent="0.35">
      <c r="A259" s="1"/>
      <c r="J259" s="1"/>
    </row>
    <row r="260" spans="1:10" x14ac:dyDescent="0.35">
      <c r="A260" s="1"/>
      <c r="J260" s="1"/>
    </row>
    <row r="261" spans="1:10" x14ac:dyDescent="0.35">
      <c r="A261" s="1"/>
      <c r="J261" s="1"/>
    </row>
    <row r="262" spans="1:10" x14ac:dyDescent="0.35">
      <c r="A262" s="1"/>
      <c r="J262" s="1"/>
    </row>
    <row r="263" spans="1:10" x14ac:dyDescent="0.35">
      <c r="A263" s="1"/>
      <c r="J263" s="1"/>
    </row>
    <row r="264" spans="1:10" x14ac:dyDescent="0.35">
      <c r="A264" s="1"/>
      <c r="J264" s="1"/>
    </row>
    <row r="265" spans="1:10" x14ac:dyDescent="0.35">
      <c r="A265" s="1"/>
      <c r="J265" s="1"/>
    </row>
    <row r="266" spans="1:10" x14ac:dyDescent="0.35">
      <c r="A266" s="1"/>
      <c r="J266" s="1"/>
    </row>
    <row r="267" spans="1:10" x14ac:dyDescent="0.35">
      <c r="A267" s="1"/>
      <c r="J267" s="1"/>
    </row>
    <row r="268" spans="1:10" x14ac:dyDescent="0.35">
      <c r="A268" s="1"/>
      <c r="J268" s="1"/>
    </row>
    <row r="269" spans="1:10" x14ac:dyDescent="0.35">
      <c r="A269" s="1"/>
      <c r="J269" s="1"/>
    </row>
    <row r="270" spans="1:10" x14ac:dyDescent="0.35">
      <c r="A270" s="1"/>
      <c r="J270" s="1"/>
    </row>
    <row r="271" spans="1:10" x14ac:dyDescent="0.35">
      <c r="A271" s="1"/>
      <c r="J271" s="1"/>
    </row>
    <row r="272" spans="1:10" x14ac:dyDescent="0.35">
      <c r="A272" s="1"/>
      <c r="J272" s="1"/>
    </row>
    <row r="273" spans="1:10" x14ac:dyDescent="0.35">
      <c r="A273" s="1"/>
      <c r="J273" s="1"/>
    </row>
    <row r="274" spans="1:10" x14ac:dyDescent="0.35">
      <c r="A274" s="1"/>
      <c r="J274" s="1"/>
    </row>
    <row r="275" spans="1:10" x14ac:dyDescent="0.35">
      <c r="A275" s="1"/>
      <c r="J275" s="1"/>
    </row>
    <row r="276" spans="1:10" x14ac:dyDescent="0.35">
      <c r="A276" s="1"/>
      <c r="J276" s="1"/>
    </row>
    <row r="277" spans="1:10" x14ac:dyDescent="0.35">
      <c r="A277" s="1"/>
      <c r="J277" s="1"/>
    </row>
    <row r="278" spans="1:10" x14ac:dyDescent="0.35">
      <c r="A278" s="1"/>
      <c r="J278" s="1"/>
    </row>
    <row r="279" spans="1:10" x14ac:dyDescent="0.35">
      <c r="A279" s="1"/>
      <c r="J279" s="1"/>
    </row>
    <row r="280" spans="1:10" x14ac:dyDescent="0.35">
      <c r="A280" s="1"/>
      <c r="J280" s="1"/>
    </row>
    <row r="281" spans="1:10" x14ac:dyDescent="0.35">
      <c r="A281" s="1"/>
      <c r="J281" s="1"/>
    </row>
    <row r="282" spans="1:10" x14ac:dyDescent="0.35">
      <c r="A282" s="1"/>
      <c r="J282" s="1"/>
    </row>
    <row r="283" spans="1:10" x14ac:dyDescent="0.35">
      <c r="A283" s="1"/>
      <c r="J283" s="1"/>
    </row>
    <row r="284" spans="1:10" x14ac:dyDescent="0.35">
      <c r="A284" s="1"/>
      <c r="J284" s="1"/>
    </row>
    <row r="285" spans="1:10" x14ac:dyDescent="0.35">
      <c r="A285" s="1"/>
      <c r="J285" s="1"/>
    </row>
    <row r="286" spans="1:10" x14ac:dyDescent="0.35">
      <c r="A286" s="1"/>
      <c r="J286" s="1"/>
    </row>
    <row r="287" spans="1:10" x14ac:dyDescent="0.35">
      <c r="A287" s="1"/>
      <c r="J287" s="1"/>
    </row>
    <row r="288" spans="1:10" x14ac:dyDescent="0.35">
      <c r="A288" s="1"/>
      <c r="J288" s="1"/>
    </row>
    <row r="289" spans="1:10" x14ac:dyDescent="0.35">
      <c r="A289" s="1"/>
      <c r="J289" s="1"/>
    </row>
    <row r="290" spans="1:10" x14ac:dyDescent="0.35">
      <c r="A290" s="1"/>
      <c r="J290" s="1"/>
    </row>
    <row r="291" spans="1:10" x14ac:dyDescent="0.35">
      <c r="A291" s="1"/>
      <c r="J291" s="1"/>
    </row>
    <row r="292" spans="1:10" x14ac:dyDescent="0.35">
      <c r="A292" s="1"/>
      <c r="J292" s="1"/>
    </row>
    <row r="293" spans="1:10" x14ac:dyDescent="0.35">
      <c r="A293" s="1"/>
      <c r="J293" s="1"/>
    </row>
    <row r="294" spans="1:10" x14ac:dyDescent="0.35">
      <c r="A294" s="1"/>
      <c r="J294" s="1"/>
    </row>
    <row r="295" spans="1:10" x14ac:dyDescent="0.35">
      <c r="A295" s="1"/>
      <c r="J295" s="1"/>
    </row>
    <row r="296" spans="1:10" x14ac:dyDescent="0.35">
      <c r="A296" s="1"/>
      <c r="J296" s="1"/>
    </row>
    <row r="297" spans="1:10" x14ac:dyDescent="0.35">
      <c r="A297" s="1"/>
      <c r="J297" s="1"/>
    </row>
    <row r="298" spans="1:10" x14ac:dyDescent="0.35">
      <c r="A298" s="1"/>
      <c r="J298" s="1"/>
    </row>
    <row r="299" spans="1:10" x14ac:dyDescent="0.35">
      <c r="A299" s="1"/>
      <c r="J299" s="1"/>
    </row>
    <row r="300" spans="1:10" x14ac:dyDescent="0.35">
      <c r="A300" s="1"/>
      <c r="J300" s="1"/>
    </row>
    <row r="301" spans="1:10" x14ac:dyDescent="0.35">
      <c r="A301" s="1"/>
      <c r="J301" s="1"/>
    </row>
    <row r="302" spans="1:10" x14ac:dyDescent="0.35">
      <c r="A302" s="1"/>
      <c r="J302" s="1"/>
    </row>
    <row r="303" spans="1:10" x14ac:dyDescent="0.35">
      <c r="A303" s="1"/>
      <c r="J303" s="1"/>
    </row>
    <row r="304" spans="1:10" x14ac:dyDescent="0.35">
      <c r="A304" s="1"/>
      <c r="J304" s="1"/>
    </row>
    <row r="305" spans="1:10" x14ac:dyDescent="0.35">
      <c r="A305" s="1"/>
      <c r="J305" s="1"/>
    </row>
    <row r="306" spans="1:10" x14ac:dyDescent="0.35">
      <c r="A306" s="1"/>
      <c r="J306" s="1"/>
    </row>
    <row r="307" spans="1:10" x14ac:dyDescent="0.35">
      <c r="A307" s="1"/>
      <c r="J307" s="1"/>
    </row>
    <row r="308" spans="1:10" x14ac:dyDescent="0.35">
      <c r="A308" s="1"/>
      <c r="J308" s="1"/>
    </row>
    <row r="309" spans="1:10" x14ac:dyDescent="0.35">
      <c r="A309" s="1"/>
      <c r="J309" s="1"/>
    </row>
    <row r="310" spans="1:10" x14ac:dyDescent="0.35">
      <c r="A310" s="1"/>
      <c r="J310" s="1"/>
    </row>
    <row r="311" spans="1:10" x14ac:dyDescent="0.35">
      <c r="A311" s="1"/>
      <c r="J311" s="1"/>
    </row>
    <row r="312" spans="1:10" x14ac:dyDescent="0.35">
      <c r="A312" s="1"/>
      <c r="J312" s="1"/>
    </row>
    <row r="313" spans="1:10" x14ac:dyDescent="0.35">
      <c r="A313" s="1"/>
      <c r="J313" s="1"/>
    </row>
    <row r="314" spans="1:10" x14ac:dyDescent="0.35">
      <c r="A314" s="1"/>
      <c r="J314" s="1"/>
    </row>
    <row r="315" spans="1:10" x14ac:dyDescent="0.35">
      <c r="A315" s="1"/>
      <c r="J31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55672-A3B1-4A91-9E67-CBE6B922C3FB}">
  <dimension ref="A1:T294"/>
  <sheetViews>
    <sheetView zoomScale="80" zoomScaleNormal="80" workbookViewId="0">
      <pane ySplit="1" topLeftCell="A179" activePane="bottomLeft" state="frozen"/>
      <selection pane="bottomLeft" activeCell="H192" sqref="H192"/>
    </sheetView>
  </sheetViews>
  <sheetFormatPr defaultRowHeight="15.5" x14ac:dyDescent="0.35"/>
  <cols>
    <col min="1" max="1" width="4.6328125" style="2" bestFit="1" customWidth="1"/>
    <col min="2" max="2" width="11.90625" style="1" bestFit="1" customWidth="1"/>
    <col min="3" max="3" width="6.36328125" style="1" bestFit="1" customWidth="1"/>
    <col min="4" max="4" width="30.26953125" style="32" customWidth="1"/>
    <col min="5" max="5" width="28.08984375" style="32" bestFit="1" customWidth="1"/>
    <col min="6" max="6" width="27.1796875" style="1" customWidth="1"/>
    <col min="7" max="7" width="29.26953125" style="32" bestFit="1" customWidth="1"/>
    <col min="8" max="8" width="12.81640625" style="1" customWidth="1"/>
    <col min="9" max="9" width="16.7265625" style="26" customWidth="1"/>
    <col min="10" max="10" width="17.6328125" style="2" customWidth="1"/>
    <col min="11" max="11" width="25.453125" style="32" customWidth="1"/>
    <col min="12" max="13" width="23.453125" style="32" customWidth="1"/>
    <col min="14" max="14" width="29.26953125" style="32" bestFit="1" customWidth="1"/>
    <col min="15" max="15" width="18.36328125" style="47" bestFit="1" customWidth="1"/>
    <col min="16" max="17" width="28.08984375" style="32" bestFit="1" customWidth="1"/>
    <col min="18" max="18" width="9" style="8" bestFit="1" customWidth="1"/>
    <col min="19" max="19" width="26.453125" style="32" bestFit="1" customWidth="1"/>
    <col min="20" max="20" width="9" style="8" bestFit="1" customWidth="1"/>
    <col min="21" max="16384" width="8.7265625" style="1"/>
  </cols>
  <sheetData>
    <row r="1" spans="1:20" x14ac:dyDescent="0.35">
      <c r="A1" s="3" t="s">
        <v>66</v>
      </c>
      <c r="B1" s="3" t="s">
        <v>1</v>
      </c>
      <c r="C1" s="3" t="s">
        <v>2</v>
      </c>
      <c r="D1" s="3" t="s">
        <v>4</v>
      </c>
      <c r="E1" s="3" t="s">
        <v>5</v>
      </c>
      <c r="F1" s="3" t="s">
        <v>15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6</v>
      </c>
      <c r="M1" s="3" t="s">
        <v>5</v>
      </c>
      <c r="N1" s="3" t="s">
        <v>6</v>
      </c>
      <c r="O1" s="3" t="s">
        <v>11</v>
      </c>
      <c r="P1" s="3" t="s">
        <v>5</v>
      </c>
      <c r="Q1" s="3" t="s">
        <v>14</v>
      </c>
      <c r="R1" s="3" t="s">
        <v>12</v>
      </c>
      <c r="S1" s="3" t="s">
        <v>6</v>
      </c>
      <c r="T1" s="3" t="s">
        <v>13</v>
      </c>
    </row>
    <row r="2" spans="1:20" x14ac:dyDescent="0.35">
      <c r="A2" s="2">
        <v>1</v>
      </c>
      <c r="B2" s="1" t="s">
        <v>111</v>
      </c>
      <c r="C2" s="1">
        <v>2022</v>
      </c>
      <c r="D2" s="32">
        <v>33967626650100</v>
      </c>
      <c r="E2" s="32">
        <v>6139263000000</v>
      </c>
      <c r="F2" s="32">
        <f>D2+E2</f>
        <v>40106889650100</v>
      </c>
      <c r="G2" s="32">
        <v>25706169000000</v>
      </c>
      <c r="H2" s="8">
        <f>F2/G2</f>
        <v>1.560204853943814</v>
      </c>
      <c r="I2" s="26">
        <v>0.72221999999999997</v>
      </c>
      <c r="J2" s="2">
        <v>4</v>
      </c>
      <c r="K2" s="32">
        <v>4525505000000</v>
      </c>
      <c r="L2" s="32">
        <v>25706169000000</v>
      </c>
      <c r="M2" s="32">
        <v>6139263000000</v>
      </c>
      <c r="N2" s="32">
        <v>25706169000000</v>
      </c>
      <c r="O2" s="26">
        <f>(K2/L2)+(M2/N2)</f>
        <v>0.4148719321031461</v>
      </c>
      <c r="P2" s="32">
        <v>6139263000000</v>
      </c>
      <c r="Q2" s="32">
        <v>19566906000000</v>
      </c>
      <c r="R2" s="8">
        <f>P2/Q2</f>
        <v>0.31375747397161308</v>
      </c>
      <c r="S2" s="32">
        <v>25706169000000</v>
      </c>
      <c r="T2" s="8">
        <f>LN(S2)</f>
        <v>30.877752117935497</v>
      </c>
    </row>
    <row r="3" spans="1:20" x14ac:dyDescent="0.35">
      <c r="A3" s="2">
        <v>1</v>
      </c>
      <c r="B3" s="1" t="s">
        <v>111</v>
      </c>
      <c r="C3" s="1">
        <v>2023</v>
      </c>
      <c r="D3" s="32">
        <v>32252089950600</v>
      </c>
      <c r="E3" s="32">
        <v>8680134000000</v>
      </c>
      <c r="F3" s="32">
        <f t="shared" ref="F3:F69" si="0">D3+E3</f>
        <v>40932223950600</v>
      </c>
      <c r="G3" s="32">
        <v>29649645000000</v>
      </c>
      <c r="H3" s="8">
        <f t="shared" ref="H3:H69" si="1">F3/G3</f>
        <v>1.3805299844433214</v>
      </c>
      <c r="I3" s="26">
        <v>0.83333000000000002</v>
      </c>
      <c r="J3" s="2">
        <v>4</v>
      </c>
      <c r="K3" s="32">
        <v>3185373000000</v>
      </c>
      <c r="L3" s="32">
        <v>29649645000000</v>
      </c>
      <c r="M3" s="32">
        <v>8680134000000</v>
      </c>
      <c r="N3" s="32">
        <v>29649645000000</v>
      </c>
      <c r="O3" s="26">
        <f t="shared" ref="O3:O46" si="2">(K3/L3)+(M3/N3)</f>
        <v>0.40019052504675856</v>
      </c>
      <c r="P3" s="32">
        <v>8680134000000</v>
      </c>
      <c r="Q3" s="32">
        <v>20969511000000</v>
      </c>
      <c r="R3" s="8">
        <f t="shared" ref="R3:R69" si="3">P3/Q3</f>
        <v>0.41394069704343606</v>
      </c>
      <c r="S3" s="32">
        <v>29649645000000</v>
      </c>
      <c r="T3" s="8">
        <f t="shared" ref="T3:T66" si="4">LN(S3)</f>
        <v>31.020471268282055</v>
      </c>
    </row>
    <row r="4" spans="1:20" x14ac:dyDescent="0.35">
      <c r="A4" s="3">
        <v>1</v>
      </c>
      <c r="B4" s="4" t="s">
        <v>111</v>
      </c>
      <c r="C4" s="4">
        <v>2024</v>
      </c>
      <c r="D4" s="33">
        <v>27241114572600</v>
      </c>
      <c r="E4" s="33">
        <v>8305656000000</v>
      </c>
      <c r="F4" s="33">
        <f t="shared" si="0"/>
        <v>35546770572600</v>
      </c>
      <c r="G4" s="33">
        <v>30420006000000</v>
      </c>
      <c r="H4" s="9">
        <f t="shared" si="1"/>
        <v>1.168532661453124</v>
      </c>
      <c r="I4" s="27">
        <v>0.83333000000000002</v>
      </c>
      <c r="J4" s="3">
        <v>5</v>
      </c>
      <c r="K4" s="33">
        <v>4496547000000</v>
      </c>
      <c r="L4" s="33">
        <v>30420006000000</v>
      </c>
      <c r="M4" s="33">
        <v>8305656000000</v>
      </c>
      <c r="N4" s="33">
        <v>30420006000000</v>
      </c>
      <c r="O4" s="27">
        <f t="shared" si="2"/>
        <v>0.420848141844548</v>
      </c>
      <c r="P4" s="33">
        <v>8305656000000</v>
      </c>
      <c r="Q4" s="33">
        <v>22114350000000</v>
      </c>
      <c r="R4" s="9">
        <f t="shared" si="3"/>
        <v>0.3755776678943763</v>
      </c>
      <c r="S4" s="33">
        <v>30420006000000</v>
      </c>
      <c r="T4" s="9">
        <f t="shared" si="4"/>
        <v>31.046121599998333</v>
      </c>
    </row>
    <row r="5" spans="1:20" x14ac:dyDescent="0.35">
      <c r="A5" s="2">
        <v>2</v>
      </c>
      <c r="B5" s="1" t="s">
        <v>112</v>
      </c>
      <c r="C5" s="1">
        <v>2022</v>
      </c>
      <c r="D5" s="32">
        <v>3833958253696</v>
      </c>
      <c r="E5" s="32">
        <v>2124332191000</v>
      </c>
      <c r="F5" s="32">
        <f t="shared" si="0"/>
        <v>5958290444696</v>
      </c>
      <c r="G5" s="32">
        <v>5211248525000</v>
      </c>
      <c r="H5" s="8">
        <f t="shared" si="1"/>
        <v>1.1433518121640533</v>
      </c>
      <c r="I5" s="26">
        <v>0.72221999999999997</v>
      </c>
      <c r="J5" s="2">
        <v>4</v>
      </c>
      <c r="K5" s="32">
        <v>522918099000</v>
      </c>
      <c r="L5" s="32">
        <v>5211248525000</v>
      </c>
      <c r="M5" s="32">
        <v>2124332191000</v>
      </c>
      <c r="N5" s="32">
        <v>5211248525000</v>
      </c>
      <c r="O5" s="26">
        <f t="shared" si="2"/>
        <v>0.50798772641533152</v>
      </c>
      <c r="P5" s="32">
        <v>2124332191000</v>
      </c>
      <c r="Q5" s="32">
        <v>3086916334000</v>
      </c>
      <c r="R5" s="8">
        <f t="shared" si="3"/>
        <v>0.68817290821980537</v>
      </c>
      <c r="S5" s="32">
        <v>5211248525000</v>
      </c>
      <c r="T5" s="8">
        <f t="shared" si="4"/>
        <v>29.281840583099882</v>
      </c>
    </row>
    <row r="6" spans="1:20" x14ac:dyDescent="0.35">
      <c r="A6" s="2">
        <v>2</v>
      </c>
      <c r="B6" s="1" t="s">
        <v>112</v>
      </c>
      <c r="C6" s="1">
        <v>2023</v>
      </c>
      <c r="D6" s="32">
        <v>2761244545408</v>
      </c>
      <c r="E6" s="32">
        <v>1694318282000</v>
      </c>
      <c r="F6" s="32">
        <f t="shared" si="0"/>
        <v>4455562827408</v>
      </c>
      <c r="G6" s="32">
        <v>4856730638000</v>
      </c>
      <c r="H6" s="8">
        <f t="shared" si="1"/>
        <v>0.91739961704831119</v>
      </c>
      <c r="I6" s="26">
        <v>0.72221999999999997</v>
      </c>
      <c r="J6" s="2">
        <v>4</v>
      </c>
      <c r="K6" s="32">
        <v>98386875000</v>
      </c>
      <c r="L6" s="32">
        <v>4856730638000</v>
      </c>
      <c r="M6" s="32">
        <v>1694318282000</v>
      </c>
      <c r="N6" s="32">
        <v>4856730638000</v>
      </c>
      <c r="O6" s="26">
        <f t="shared" si="2"/>
        <v>0.36911768237124948</v>
      </c>
      <c r="P6" s="32">
        <v>1694318282000</v>
      </c>
      <c r="Q6" s="32">
        <v>3162412356000</v>
      </c>
      <c r="R6" s="8">
        <f t="shared" si="3"/>
        <v>0.53576766444938595</v>
      </c>
      <c r="S6" s="32">
        <v>4856730638000</v>
      </c>
      <c r="T6" s="8">
        <f>LN(S6)</f>
        <v>29.211386619240791</v>
      </c>
    </row>
    <row r="7" spans="1:20" x14ac:dyDescent="0.35">
      <c r="A7" s="3">
        <v>2</v>
      </c>
      <c r="B7" s="4" t="s">
        <v>112</v>
      </c>
      <c r="C7" s="4">
        <v>2024</v>
      </c>
      <c r="D7" s="33">
        <v>2026237004544</v>
      </c>
      <c r="E7" s="33">
        <v>1639441913000</v>
      </c>
      <c r="F7" s="33">
        <f t="shared" si="0"/>
        <v>3665678917544</v>
      </c>
      <c r="G7" s="33">
        <v>4907686845000</v>
      </c>
      <c r="H7" s="9">
        <f t="shared" si="1"/>
        <v>0.74692600268059683</v>
      </c>
      <c r="I7" s="27">
        <v>0.72221999999999997</v>
      </c>
      <c r="J7" s="3">
        <v>4</v>
      </c>
      <c r="K7" s="33">
        <v>29843338000</v>
      </c>
      <c r="L7" s="33">
        <v>4907686845000</v>
      </c>
      <c r="M7" s="33">
        <v>1639441913000</v>
      </c>
      <c r="N7" s="33">
        <v>4907868845000</v>
      </c>
      <c r="O7" s="27">
        <f t="shared" si="2"/>
        <v>0.34012448385438931</v>
      </c>
      <c r="P7" s="33">
        <v>1639441913000</v>
      </c>
      <c r="Q7" s="33">
        <v>3268244932000</v>
      </c>
      <c r="R7" s="9">
        <f t="shared" si="3"/>
        <v>0.50162761577258674</v>
      </c>
      <c r="S7" s="33">
        <v>4907868845000</v>
      </c>
      <c r="T7" s="9">
        <f t="shared" si="4"/>
        <v>29.22186091972252</v>
      </c>
    </row>
    <row r="8" spans="1:20" x14ac:dyDescent="0.35">
      <c r="A8" s="2">
        <v>3</v>
      </c>
      <c r="B8" s="1" t="s">
        <v>113</v>
      </c>
      <c r="C8" s="1">
        <v>2022</v>
      </c>
      <c r="D8" s="32">
        <v>12852619311525</v>
      </c>
      <c r="E8" s="32">
        <v>9518472000000</v>
      </c>
      <c r="F8" s="32">
        <f t="shared" si="0"/>
        <v>22371091311525</v>
      </c>
      <c r="G8" s="32">
        <v>21378510000000</v>
      </c>
      <c r="H8" s="8">
        <f t="shared" si="1"/>
        <v>1.046428928467185</v>
      </c>
      <c r="I8" s="26">
        <v>0.72221999999999997</v>
      </c>
      <c r="J8" s="2">
        <v>5</v>
      </c>
      <c r="K8" s="32">
        <v>29344000000</v>
      </c>
      <c r="L8" s="32">
        <v>21378510000000</v>
      </c>
      <c r="M8" s="32">
        <v>9518472000000</v>
      </c>
      <c r="N8" s="32">
        <v>21378510000000</v>
      </c>
      <c r="O8" s="26">
        <f t="shared" si="2"/>
        <v>0.4466081125391807</v>
      </c>
      <c r="P8" s="32">
        <v>9518472000000</v>
      </c>
      <c r="Q8" s="32">
        <v>11860038000000</v>
      </c>
      <c r="R8" s="8">
        <f t="shared" si="3"/>
        <v>0.80256673713861626</v>
      </c>
      <c r="S8" s="32">
        <v>21378510000000</v>
      </c>
      <c r="T8" s="8">
        <f t="shared" si="4"/>
        <v>30.693407327796614</v>
      </c>
    </row>
    <row r="9" spans="1:20" x14ac:dyDescent="0.35">
      <c r="A9" s="2">
        <v>3</v>
      </c>
      <c r="B9" s="1" t="s">
        <v>113</v>
      </c>
      <c r="C9" s="1">
        <v>2023</v>
      </c>
      <c r="D9" s="32">
        <v>12131068753685</v>
      </c>
      <c r="E9" s="32">
        <v>9702125000000</v>
      </c>
      <c r="F9" s="32">
        <f t="shared" si="0"/>
        <v>21833193753685</v>
      </c>
      <c r="G9" s="32">
        <v>22206739000000</v>
      </c>
      <c r="H9" s="8">
        <f t="shared" si="1"/>
        <v>0.98317874378966674</v>
      </c>
      <c r="I9" s="26">
        <v>0.77778000000000003</v>
      </c>
      <c r="J9" s="2">
        <v>4</v>
      </c>
      <c r="K9" s="32">
        <v>339455000000</v>
      </c>
      <c r="L9" s="32">
        <v>22206730638000</v>
      </c>
      <c r="M9" s="32">
        <v>9702125000000</v>
      </c>
      <c r="N9" s="32">
        <v>22206730638000</v>
      </c>
      <c r="O9" s="26">
        <f t="shared" si="2"/>
        <v>0.45218632871679543</v>
      </c>
      <c r="P9" s="32">
        <v>9702125000000</v>
      </c>
      <c r="Q9" s="32">
        <v>12504614000000</v>
      </c>
      <c r="R9" s="8">
        <f t="shared" si="3"/>
        <v>0.77588360584341109</v>
      </c>
      <c r="S9" s="32">
        <v>22206730638000</v>
      </c>
      <c r="T9" s="8">
        <f t="shared" si="4"/>
        <v>30.731416540748331</v>
      </c>
    </row>
    <row r="10" spans="1:20" x14ac:dyDescent="0.35">
      <c r="A10" s="3">
        <v>3</v>
      </c>
      <c r="B10" s="4" t="s">
        <v>113</v>
      </c>
      <c r="C10" s="4">
        <v>2024</v>
      </c>
      <c r="D10" s="33">
        <v>6764536479750</v>
      </c>
      <c r="E10" s="33">
        <v>8132242000000</v>
      </c>
      <c r="F10" s="33">
        <f t="shared" si="0"/>
        <v>14896778479750</v>
      </c>
      <c r="G10" s="33">
        <v>21046352000000</v>
      </c>
      <c r="H10" s="9">
        <f t="shared" si="1"/>
        <v>0.70780810278902495</v>
      </c>
      <c r="I10" s="27">
        <v>0.77778000000000003</v>
      </c>
      <c r="J10" s="3">
        <v>5</v>
      </c>
      <c r="K10" s="33">
        <v>150342000000</v>
      </c>
      <c r="L10" s="33">
        <v>21046352000000</v>
      </c>
      <c r="M10" s="33">
        <v>8132242000000</v>
      </c>
      <c r="N10" s="33">
        <v>21046352000000</v>
      </c>
      <c r="O10" s="27">
        <f t="shared" si="2"/>
        <v>0.39354012514852926</v>
      </c>
      <c r="P10" s="33">
        <v>8132242000000</v>
      </c>
      <c r="Q10" s="33">
        <v>12914110000000</v>
      </c>
      <c r="R10" s="9">
        <f t="shared" si="3"/>
        <v>0.62971757248466986</v>
      </c>
      <c r="S10" s="33">
        <v>21046352000000</v>
      </c>
      <c r="T10" s="9">
        <f t="shared" si="4"/>
        <v>30.677748359375762</v>
      </c>
    </row>
    <row r="11" spans="1:20" x14ac:dyDescent="0.35">
      <c r="A11" s="2">
        <v>4</v>
      </c>
      <c r="B11" s="1" t="s">
        <v>114</v>
      </c>
      <c r="C11" s="1">
        <v>2022</v>
      </c>
      <c r="D11" s="32">
        <v>44391376085175</v>
      </c>
      <c r="E11" s="32">
        <v>33270652000000</v>
      </c>
      <c r="F11" s="32">
        <f t="shared" si="0"/>
        <v>77662028085175</v>
      </c>
      <c r="G11" s="32">
        <v>82960012000000</v>
      </c>
      <c r="H11" s="8">
        <f t="shared" si="1"/>
        <v>0.93613810091029159</v>
      </c>
      <c r="I11" s="26">
        <v>0.77778000000000003</v>
      </c>
      <c r="J11" s="2">
        <v>4</v>
      </c>
      <c r="K11" s="32">
        <v>6007333000000</v>
      </c>
      <c r="L11" s="32">
        <v>82960012000000</v>
      </c>
      <c r="M11" s="32">
        <v>33270652000000</v>
      </c>
      <c r="N11" s="32">
        <v>82960012000000</v>
      </c>
      <c r="O11" s="26">
        <f t="shared" si="2"/>
        <v>0.47345683845850939</v>
      </c>
      <c r="P11" s="32">
        <v>33270652000000</v>
      </c>
      <c r="Q11" s="32">
        <v>39782882000000</v>
      </c>
      <c r="R11" s="8">
        <f t="shared" si="3"/>
        <v>0.83630572566361583</v>
      </c>
      <c r="S11" s="32">
        <v>82960012000000</v>
      </c>
      <c r="T11" s="8">
        <f t="shared" si="4"/>
        <v>32.049379824497834</v>
      </c>
    </row>
    <row r="12" spans="1:20" x14ac:dyDescent="0.35">
      <c r="A12" s="2">
        <v>4</v>
      </c>
      <c r="B12" s="1" t="s">
        <v>114</v>
      </c>
      <c r="C12" s="1">
        <v>2023</v>
      </c>
      <c r="D12" s="32">
        <v>43209856569600</v>
      </c>
      <c r="E12" s="32">
        <v>31769553000000</v>
      </c>
      <c r="F12" s="32">
        <f t="shared" si="0"/>
        <v>74979409569600</v>
      </c>
      <c r="G12" s="32">
        <v>81820529000000</v>
      </c>
      <c r="H12" s="8">
        <f t="shared" si="1"/>
        <v>0.91638871669480404</v>
      </c>
      <c r="I12" s="26">
        <v>0.83333000000000002</v>
      </c>
      <c r="J12" s="2">
        <v>4</v>
      </c>
      <c r="K12" s="32">
        <v>6939841000000</v>
      </c>
      <c r="L12" s="32">
        <v>81820529000000</v>
      </c>
      <c r="M12" s="32">
        <v>31769553000000</v>
      </c>
      <c r="N12" s="32">
        <v>81820529000000</v>
      </c>
      <c r="O12" s="26">
        <f t="shared" si="2"/>
        <v>0.47310124333222042</v>
      </c>
      <c r="P12" s="32">
        <v>31769553000000</v>
      </c>
      <c r="Q12" s="32">
        <v>47800976000000</v>
      </c>
      <c r="R12" s="8">
        <f t="shared" si="3"/>
        <v>0.6646214294871301</v>
      </c>
      <c r="S12" s="32">
        <v>81820529000000</v>
      </c>
      <c r="T12" s="8">
        <f t="shared" si="4"/>
        <v>32.035549293820779</v>
      </c>
    </row>
    <row r="13" spans="1:20" x14ac:dyDescent="0.35">
      <c r="A13" s="3">
        <v>4</v>
      </c>
      <c r="B13" s="4" t="s">
        <v>114</v>
      </c>
      <c r="C13" s="4">
        <v>2024</v>
      </c>
      <c r="D13" s="33">
        <v>22212566892810</v>
      </c>
      <c r="E13" s="33">
        <v>26635871000000</v>
      </c>
      <c r="F13" s="33">
        <f t="shared" si="0"/>
        <v>48848437892810</v>
      </c>
      <c r="G13" s="33">
        <v>76993082000000</v>
      </c>
      <c r="H13" s="9">
        <f t="shared" si="1"/>
        <v>0.63445229914046042</v>
      </c>
      <c r="I13" s="27">
        <v>0.83333000000000002</v>
      </c>
      <c r="J13" s="3">
        <v>5</v>
      </c>
      <c r="K13" s="33">
        <v>3659130000000</v>
      </c>
      <c r="L13" s="33">
        <v>76993082000000</v>
      </c>
      <c r="M13" s="33">
        <v>26635871000000</v>
      </c>
      <c r="N13" s="33">
        <v>76993082000000</v>
      </c>
      <c r="O13" s="27">
        <f t="shared" si="2"/>
        <v>0.39347692303056525</v>
      </c>
      <c r="P13" s="33">
        <v>26635871000000</v>
      </c>
      <c r="Q13" s="33">
        <v>48307211000000</v>
      </c>
      <c r="R13" s="9">
        <f t="shared" si="3"/>
        <v>0.55138498887878251</v>
      </c>
      <c r="S13" s="33">
        <v>76993082000000</v>
      </c>
      <c r="T13" s="9">
        <f t="shared" si="4"/>
        <v>31.974736689590159</v>
      </c>
    </row>
    <row r="14" spans="1:20" x14ac:dyDescent="0.35">
      <c r="A14" s="2">
        <v>5</v>
      </c>
      <c r="B14" s="1" t="s">
        <v>115</v>
      </c>
      <c r="C14" s="1">
        <v>2022</v>
      </c>
      <c r="D14" s="32">
        <v>2408700000000</v>
      </c>
      <c r="E14" s="32">
        <v>3746348000000</v>
      </c>
      <c r="F14" s="32">
        <f t="shared" si="0"/>
        <v>6155048000000</v>
      </c>
      <c r="G14" s="32">
        <v>7466520000000</v>
      </c>
      <c r="H14" s="8">
        <f t="shared" si="1"/>
        <v>0.824352978362075</v>
      </c>
      <c r="I14" s="26">
        <v>0.55556000000000005</v>
      </c>
      <c r="J14" s="2">
        <v>3</v>
      </c>
      <c r="K14" s="32">
        <v>107248000000</v>
      </c>
      <c r="L14" s="32">
        <v>7466520000000</v>
      </c>
      <c r="M14" s="32">
        <v>3746348000000</v>
      </c>
      <c r="N14" s="32">
        <v>7466520000000</v>
      </c>
      <c r="O14" s="26">
        <f t="shared" si="2"/>
        <v>0.51611674515035122</v>
      </c>
      <c r="P14" s="32">
        <v>3746348000000</v>
      </c>
      <c r="Q14" s="32">
        <v>3702172000000</v>
      </c>
      <c r="R14" s="8">
        <f t="shared" si="3"/>
        <v>1.0119324547860014</v>
      </c>
      <c r="S14" s="32">
        <v>7466520000000</v>
      </c>
      <c r="T14" s="8">
        <f t="shared" si="4"/>
        <v>29.641450143071367</v>
      </c>
    </row>
    <row r="15" spans="1:20" x14ac:dyDescent="0.35">
      <c r="A15" s="2">
        <v>5</v>
      </c>
      <c r="B15" s="1" t="s">
        <v>115</v>
      </c>
      <c r="C15" s="1">
        <v>2023</v>
      </c>
      <c r="D15" s="32">
        <v>2560600000000</v>
      </c>
      <c r="E15" s="32">
        <v>3259927000000</v>
      </c>
      <c r="F15" s="32">
        <f t="shared" si="0"/>
        <v>5820527000000</v>
      </c>
      <c r="G15" s="32">
        <v>7500664000000</v>
      </c>
      <c r="H15" s="8">
        <f t="shared" si="1"/>
        <v>0.7760015646614753</v>
      </c>
      <c r="I15" s="26">
        <v>0.61111000000000004</v>
      </c>
      <c r="J15" s="2">
        <v>3</v>
      </c>
      <c r="K15" s="32">
        <v>148822000000</v>
      </c>
      <c r="L15" s="32">
        <v>7500664000000</v>
      </c>
      <c r="M15" s="32">
        <v>3259927000000</v>
      </c>
      <c r="N15" s="32">
        <v>7500664000000</v>
      </c>
      <c r="O15" s="26">
        <f t="shared" si="2"/>
        <v>0.4544596318405944</v>
      </c>
      <c r="P15" s="32">
        <v>3259927000000</v>
      </c>
      <c r="Q15" s="32">
        <v>4240737000000</v>
      </c>
      <c r="R15" s="8">
        <f t="shared" si="3"/>
        <v>0.76871708856267196</v>
      </c>
      <c r="S15" s="32">
        <v>7500664000000</v>
      </c>
      <c r="T15" s="8">
        <f t="shared" si="4"/>
        <v>29.646012665885301</v>
      </c>
    </row>
    <row r="16" spans="1:20" x14ac:dyDescent="0.35">
      <c r="A16" s="3">
        <v>5</v>
      </c>
      <c r="B16" s="4" t="s">
        <v>115</v>
      </c>
      <c r="C16" s="4">
        <v>2024</v>
      </c>
      <c r="D16" s="33">
        <v>1861860000000</v>
      </c>
      <c r="E16" s="33">
        <v>2778081000000</v>
      </c>
      <c r="F16" s="33">
        <f t="shared" si="0"/>
        <v>4639941000000</v>
      </c>
      <c r="G16" s="33">
        <v>7271566000000</v>
      </c>
      <c r="H16" s="9">
        <f t="shared" si="1"/>
        <v>0.63809377512354282</v>
      </c>
      <c r="I16" s="27">
        <v>0.66666999999999998</v>
      </c>
      <c r="J16" s="3">
        <v>3</v>
      </c>
      <c r="K16" s="33">
        <v>49883000000</v>
      </c>
      <c r="L16" s="33">
        <v>7271566000000</v>
      </c>
      <c r="M16" s="33">
        <v>2778081000000</v>
      </c>
      <c r="N16" s="33">
        <v>7271566000000</v>
      </c>
      <c r="O16" s="27">
        <f t="shared" si="2"/>
        <v>0.38890714874897653</v>
      </c>
      <c r="P16" s="33">
        <v>2778081000000</v>
      </c>
      <c r="Q16" s="33">
        <v>4493485000000</v>
      </c>
      <c r="R16" s="9">
        <f t="shared" si="3"/>
        <v>0.61824641675670444</v>
      </c>
      <c r="S16" s="33">
        <v>7271566000000</v>
      </c>
      <c r="T16" s="9">
        <f t="shared" si="4"/>
        <v>29.61499279005465</v>
      </c>
    </row>
    <row r="17" spans="1:20" x14ac:dyDescent="0.35">
      <c r="A17" s="2">
        <v>6</v>
      </c>
      <c r="B17" s="1" t="s">
        <v>116</v>
      </c>
      <c r="C17" s="1">
        <v>2022</v>
      </c>
      <c r="D17" s="32">
        <v>2786400000000</v>
      </c>
      <c r="E17" s="32">
        <v>1002210741085</v>
      </c>
      <c r="F17" s="32">
        <f t="shared" si="0"/>
        <v>3788610741085</v>
      </c>
      <c r="G17" s="32">
        <v>3304972191991</v>
      </c>
      <c r="H17" s="8">
        <f t="shared" si="1"/>
        <v>1.1463366470271703</v>
      </c>
      <c r="I17" s="26">
        <v>0.5</v>
      </c>
      <c r="J17" s="2">
        <v>3</v>
      </c>
      <c r="K17" s="32">
        <v>405569883002</v>
      </c>
      <c r="L17" s="32">
        <v>3304972191991</v>
      </c>
      <c r="M17" s="32">
        <v>1002210741085</v>
      </c>
      <c r="N17" s="32">
        <v>3304972191991</v>
      </c>
      <c r="O17" s="26">
        <f t="shared" si="2"/>
        <v>0.4259583870322724</v>
      </c>
      <c r="P17" s="32">
        <v>1002210741085</v>
      </c>
      <c r="Q17" s="32">
        <v>2302761450906</v>
      </c>
      <c r="R17" s="8">
        <f t="shared" si="3"/>
        <v>0.43522126040918807</v>
      </c>
      <c r="S17" s="32">
        <v>3304972191991</v>
      </c>
      <c r="T17" s="8">
        <f t="shared" si="4"/>
        <v>28.826449175275773</v>
      </c>
    </row>
    <row r="18" spans="1:20" x14ac:dyDescent="0.35">
      <c r="A18" s="2">
        <v>6</v>
      </c>
      <c r="B18" s="1" t="s">
        <v>116</v>
      </c>
      <c r="C18" s="1">
        <v>2023</v>
      </c>
      <c r="D18" s="32">
        <v>2352960000000</v>
      </c>
      <c r="E18" s="32">
        <v>989206172452</v>
      </c>
      <c r="F18" s="32">
        <f t="shared" si="0"/>
        <v>3342166172452</v>
      </c>
      <c r="G18" s="32">
        <v>3451053901000</v>
      </c>
      <c r="H18" s="8">
        <f t="shared" si="1"/>
        <v>0.96844797801725202</v>
      </c>
      <c r="I18" s="26">
        <v>0.5</v>
      </c>
      <c r="J18" s="2">
        <v>3</v>
      </c>
      <c r="K18" s="32">
        <v>325326738117</v>
      </c>
      <c r="L18" s="32">
        <v>3451053901000</v>
      </c>
      <c r="M18" s="32">
        <v>989206172452</v>
      </c>
      <c r="N18" s="32">
        <v>3451053901000</v>
      </c>
      <c r="O18" s="26">
        <f t="shared" si="2"/>
        <v>0.38090767292510042</v>
      </c>
      <c r="P18" s="32">
        <v>989206172452</v>
      </c>
      <c r="Q18" s="32">
        <v>2351397318568</v>
      </c>
      <c r="R18" s="8">
        <f t="shared" si="3"/>
        <v>0.42068865378073417</v>
      </c>
      <c r="S18" s="32">
        <v>3451053901000</v>
      </c>
      <c r="T18" s="8">
        <f t="shared" si="4"/>
        <v>28.869700778873469</v>
      </c>
    </row>
    <row r="19" spans="1:20" x14ac:dyDescent="0.35">
      <c r="A19" s="3">
        <v>6</v>
      </c>
      <c r="B19" s="4" t="s">
        <v>116</v>
      </c>
      <c r="C19" s="4">
        <v>2024</v>
      </c>
      <c r="D19" s="33">
        <v>2270400000000</v>
      </c>
      <c r="E19" s="33">
        <v>982493481408</v>
      </c>
      <c r="F19" s="33">
        <f t="shared" si="0"/>
        <v>3252893481408</v>
      </c>
      <c r="G19" s="33">
        <v>3333890799976</v>
      </c>
      <c r="H19" s="9">
        <f t="shared" si="1"/>
        <v>0.9757048675473764</v>
      </c>
      <c r="I19" s="27">
        <v>0.5</v>
      </c>
      <c r="J19" s="3">
        <v>3</v>
      </c>
      <c r="K19" s="33">
        <v>335749272789</v>
      </c>
      <c r="L19" s="33">
        <v>3333890799976</v>
      </c>
      <c r="M19" s="33">
        <v>982493481408</v>
      </c>
      <c r="N19" s="33">
        <v>3333890799976</v>
      </c>
      <c r="O19" s="27">
        <f t="shared" si="2"/>
        <v>0.39540669844569887</v>
      </c>
      <c r="P19" s="33">
        <v>982493481408</v>
      </c>
      <c r="Q19" s="33">
        <v>2461847728548</v>
      </c>
      <c r="R19" s="9">
        <f t="shared" si="3"/>
        <v>0.39908783553704014</v>
      </c>
      <c r="S19" s="33">
        <v>3333890799976</v>
      </c>
      <c r="T19" s="9">
        <f t="shared" si="4"/>
        <v>28.835161146264234</v>
      </c>
    </row>
    <row r="20" spans="1:20" x14ac:dyDescent="0.35">
      <c r="A20" s="2">
        <v>7</v>
      </c>
      <c r="B20" s="1" t="s">
        <v>117</v>
      </c>
      <c r="C20" s="1">
        <v>2022</v>
      </c>
      <c r="D20" s="32">
        <v>601200000000</v>
      </c>
      <c r="E20" s="32">
        <v>621151662369</v>
      </c>
      <c r="F20" s="32">
        <f t="shared" si="0"/>
        <v>1222351662369</v>
      </c>
      <c r="G20" s="32">
        <v>731341359270</v>
      </c>
      <c r="H20" s="8">
        <f t="shared" si="1"/>
        <v>1.6713832013946397</v>
      </c>
      <c r="I20" s="26">
        <v>0.61111000000000004</v>
      </c>
      <c r="J20" s="2">
        <v>2</v>
      </c>
      <c r="K20" s="32">
        <v>23471460256</v>
      </c>
      <c r="L20" s="32">
        <v>731341359270</v>
      </c>
      <c r="M20" s="32">
        <v>621151662369</v>
      </c>
      <c r="N20" s="32">
        <v>731341359270</v>
      </c>
      <c r="O20" s="26">
        <f t="shared" si="2"/>
        <v>0.88142577259467569</v>
      </c>
      <c r="P20" s="32">
        <v>621151662369</v>
      </c>
      <c r="Q20" s="32">
        <v>110189496901</v>
      </c>
      <c r="R20" s="8">
        <f t="shared" si="3"/>
        <v>5.6371222288733662</v>
      </c>
      <c r="S20" s="32">
        <v>731341359270</v>
      </c>
      <c r="T20" s="8">
        <f t="shared" si="4"/>
        <v>27.318146163442503</v>
      </c>
    </row>
    <row r="21" spans="1:20" x14ac:dyDescent="0.35">
      <c r="A21" s="2">
        <v>7</v>
      </c>
      <c r="B21" s="1" t="s">
        <v>117</v>
      </c>
      <c r="C21" s="1">
        <v>2023</v>
      </c>
      <c r="D21" s="32">
        <v>221400000000</v>
      </c>
      <c r="E21" s="32">
        <v>615100361501</v>
      </c>
      <c r="F21" s="32">
        <f t="shared" si="0"/>
        <v>836500361501</v>
      </c>
      <c r="G21" s="32">
        <v>726111487745</v>
      </c>
      <c r="H21" s="8">
        <f t="shared" si="1"/>
        <v>1.1520274442962222</v>
      </c>
      <c r="I21" s="26">
        <v>0.61111000000000004</v>
      </c>
      <c r="J21" s="2">
        <v>3</v>
      </c>
      <c r="K21" s="32">
        <v>37958342902</v>
      </c>
      <c r="L21" s="32">
        <v>726111487745</v>
      </c>
      <c r="M21" s="32">
        <v>615100361501</v>
      </c>
      <c r="N21" s="32">
        <v>726111487745</v>
      </c>
      <c r="O21" s="26">
        <f t="shared" si="2"/>
        <v>0.89939178132428177</v>
      </c>
      <c r="P21" s="32">
        <v>615100361501</v>
      </c>
      <c r="Q21" s="32">
        <v>111011126244</v>
      </c>
      <c r="R21" s="8">
        <f t="shared" si="3"/>
        <v>5.540889299231349</v>
      </c>
      <c r="S21" s="32">
        <v>726111487745</v>
      </c>
      <c r="T21" s="8">
        <f t="shared" si="4"/>
        <v>27.310969404368457</v>
      </c>
    </row>
    <row r="22" spans="1:20" x14ac:dyDescent="0.35">
      <c r="A22" s="3">
        <v>7</v>
      </c>
      <c r="B22" s="4" t="s">
        <v>117</v>
      </c>
      <c r="C22" s="4">
        <v>2024</v>
      </c>
      <c r="D22" s="33">
        <v>333000000000</v>
      </c>
      <c r="E22" s="33">
        <v>647423349628</v>
      </c>
      <c r="F22" s="33">
        <f t="shared" si="0"/>
        <v>980423349628</v>
      </c>
      <c r="G22" s="33">
        <v>704587096783</v>
      </c>
      <c r="H22" s="9">
        <f t="shared" si="1"/>
        <v>1.3914863813209348</v>
      </c>
      <c r="I22" s="27">
        <v>0.61111000000000004</v>
      </c>
      <c r="J22" s="3">
        <v>3</v>
      </c>
      <c r="K22" s="33">
        <v>93486306573</v>
      </c>
      <c r="L22" s="33">
        <v>704587096783</v>
      </c>
      <c r="M22" s="33">
        <v>647423349628</v>
      </c>
      <c r="N22" s="33">
        <v>704587096783</v>
      </c>
      <c r="O22" s="27">
        <f t="shared" si="2"/>
        <v>1.0515515535039477</v>
      </c>
      <c r="P22" s="33">
        <v>647423349628</v>
      </c>
      <c r="Q22" s="33">
        <v>57163747155</v>
      </c>
      <c r="R22" s="9">
        <f t="shared" si="3"/>
        <v>11.325768198374154</v>
      </c>
      <c r="S22" s="33">
        <v>704587096783</v>
      </c>
      <c r="T22" s="9">
        <f t="shared" si="4"/>
        <v>27.280877789860149</v>
      </c>
    </row>
    <row r="23" spans="1:20" x14ac:dyDescent="0.35">
      <c r="A23" s="2">
        <v>8</v>
      </c>
      <c r="B23" s="1" t="s">
        <v>118</v>
      </c>
      <c r="C23" s="1">
        <v>2022</v>
      </c>
      <c r="D23" s="32">
        <v>1276592542500</v>
      </c>
      <c r="E23" s="32">
        <f>15873*50621600</f>
        <v>803516656800</v>
      </c>
      <c r="F23" s="32">
        <f t="shared" si="0"/>
        <v>2080109199300</v>
      </c>
      <c r="G23" s="32">
        <f>15873*133941143</f>
        <v>2126047762839</v>
      </c>
      <c r="H23" s="8">
        <f t="shared" si="1"/>
        <v>0.97839250634818464</v>
      </c>
      <c r="I23" s="26">
        <v>0.66666999999999998</v>
      </c>
      <c r="J23" s="2">
        <v>3</v>
      </c>
      <c r="K23" s="32">
        <f>15873*11134047</f>
        <v>176730728031</v>
      </c>
      <c r="L23" s="32">
        <v>2126047762839</v>
      </c>
      <c r="M23" s="32">
        <v>803516656800</v>
      </c>
      <c r="N23" s="32">
        <v>2126047762839</v>
      </c>
      <c r="O23" s="26">
        <f t="shared" si="2"/>
        <v>0.46106555175507202</v>
      </c>
      <c r="P23" s="32">
        <v>803516656800</v>
      </c>
      <c r="Q23" s="32">
        <f>15873*83319543</f>
        <v>1322531106039</v>
      </c>
      <c r="R23" s="8">
        <f t="shared" si="3"/>
        <v>0.60755974141624858</v>
      </c>
      <c r="S23" s="32">
        <v>2126047762839</v>
      </c>
      <c r="T23" s="8">
        <f t="shared" si="4"/>
        <v>28.385285861653802</v>
      </c>
    </row>
    <row r="24" spans="1:20" x14ac:dyDescent="0.35">
      <c r="A24" s="2">
        <v>8</v>
      </c>
      <c r="B24" s="1" t="s">
        <v>118</v>
      </c>
      <c r="C24" s="1">
        <v>2023</v>
      </c>
      <c r="D24" s="32">
        <v>3185478570000</v>
      </c>
      <c r="E24" s="32">
        <f>15385*68713574</f>
        <v>1057158335990</v>
      </c>
      <c r="F24" s="32">
        <f t="shared" si="0"/>
        <v>4242636905990</v>
      </c>
      <c r="G24" s="32">
        <f>15385*171146562</f>
        <v>2633089856370</v>
      </c>
      <c r="H24" s="8">
        <f t="shared" si="1"/>
        <v>1.6112769170129786</v>
      </c>
      <c r="I24" s="26">
        <v>0.72221999999999997</v>
      </c>
      <c r="J24" s="2">
        <v>3</v>
      </c>
      <c r="K24" s="32">
        <f>15385*7631263</f>
        <v>117406981255</v>
      </c>
      <c r="L24" s="32">
        <v>2633089856370</v>
      </c>
      <c r="M24" s="32">
        <v>1057158335900</v>
      </c>
      <c r="N24" s="32">
        <v>2633089856370</v>
      </c>
      <c r="O24" s="26">
        <f t="shared" si="2"/>
        <v>0.44607870647235176</v>
      </c>
      <c r="P24" s="32">
        <v>1057158335900</v>
      </c>
      <c r="Q24" s="32">
        <f>15385*102384228</f>
        <v>1575181347780</v>
      </c>
      <c r="R24" s="8">
        <f t="shared" si="3"/>
        <v>0.67113436645876889</v>
      </c>
      <c r="S24" s="32">
        <v>2633089856370</v>
      </c>
      <c r="T24" s="8">
        <f t="shared" si="4"/>
        <v>28.599179122852433</v>
      </c>
    </row>
    <row r="25" spans="1:20" x14ac:dyDescent="0.35">
      <c r="A25" s="3">
        <v>8</v>
      </c>
      <c r="B25" s="4" t="s">
        <v>118</v>
      </c>
      <c r="C25" s="4">
        <v>2024</v>
      </c>
      <c r="D25" s="33">
        <v>5914745385000</v>
      </c>
      <c r="E25" s="33">
        <f>16129*69734770</f>
        <v>1124752105330</v>
      </c>
      <c r="F25" s="33">
        <f t="shared" si="0"/>
        <v>7039497490330</v>
      </c>
      <c r="G25" s="33">
        <f>16129*198623055</f>
        <v>3203591254095</v>
      </c>
      <c r="H25" s="9">
        <f t="shared" si="1"/>
        <v>2.1973769223310686</v>
      </c>
      <c r="I25" s="27">
        <v>0.72221999999999997</v>
      </c>
      <c r="J25" s="3">
        <v>3</v>
      </c>
      <c r="K25" s="33">
        <f>16129*28882336</f>
        <v>465843197344</v>
      </c>
      <c r="L25" s="33">
        <v>3203591254095</v>
      </c>
      <c r="M25" s="33">
        <v>1124752105330</v>
      </c>
      <c r="N25" s="33">
        <v>3203591254095</v>
      </c>
      <c r="O25" s="27">
        <f t="shared" si="2"/>
        <v>0.49650382227783174</v>
      </c>
      <c r="P25" s="33">
        <v>1124752105330</v>
      </c>
      <c r="Q25" s="33">
        <f>16129*128839679</f>
        <v>2078055182591</v>
      </c>
      <c r="R25" s="9">
        <f t="shared" si="3"/>
        <v>0.54125227989740643</v>
      </c>
      <c r="S25" s="33">
        <v>3203591254095</v>
      </c>
      <c r="T25" s="9">
        <f t="shared" si="4"/>
        <v>28.795293563368176</v>
      </c>
    </row>
    <row r="26" spans="1:20" x14ac:dyDescent="0.35">
      <c r="A26" s="2">
        <v>9</v>
      </c>
      <c r="B26" s="1" t="s">
        <v>119</v>
      </c>
      <c r="C26" s="1">
        <v>2022</v>
      </c>
      <c r="D26" s="32">
        <v>1395617500000</v>
      </c>
      <c r="E26" s="32">
        <v>1046603698108</v>
      </c>
      <c r="F26" s="32">
        <f t="shared" si="0"/>
        <v>2442221198108</v>
      </c>
      <c r="G26" s="32">
        <v>2106446579086</v>
      </c>
      <c r="H26" s="8">
        <f t="shared" si="1"/>
        <v>1.1594033394227803</v>
      </c>
      <c r="I26" s="26">
        <v>0.61111000000000004</v>
      </c>
      <c r="J26" s="2">
        <v>3</v>
      </c>
      <c r="K26" s="32">
        <v>56074605534</v>
      </c>
      <c r="L26" s="32">
        <v>2106446579086</v>
      </c>
      <c r="M26" s="32">
        <v>1046603698108</v>
      </c>
      <c r="N26" s="32">
        <v>2106446579086</v>
      </c>
      <c r="O26" s="26">
        <f t="shared" si="2"/>
        <v>0.52347793416173827</v>
      </c>
      <c r="P26" s="32">
        <v>1046603698108</v>
      </c>
      <c r="Q26" s="32">
        <v>1059842880978</v>
      </c>
      <c r="R26" s="8">
        <f t="shared" si="3"/>
        <v>0.98750835325913289</v>
      </c>
      <c r="S26" s="32">
        <v>2106446579086</v>
      </c>
      <c r="T26" s="8">
        <f t="shared" si="4"/>
        <v>28.376023558008782</v>
      </c>
    </row>
    <row r="27" spans="1:20" x14ac:dyDescent="0.35">
      <c r="A27" s="2">
        <v>9</v>
      </c>
      <c r="B27" s="1" t="s">
        <v>119</v>
      </c>
      <c r="C27" s="1">
        <v>2023</v>
      </c>
      <c r="D27" s="32">
        <v>1220010000000</v>
      </c>
      <c r="E27" s="32">
        <v>954226747571</v>
      </c>
      <c r="F27" s="32">
        <f t="shared" si="0"/>
        <v>2174236747571</v>
      </c>
      <c r="G27" s="32">
        <v>2228129147603</v>
      </c>
      <c r="H27" s="8">
        <f t="shared" si="1"/>
        <v>0.97581271261139557</v>
      </c>
      <c r="I27" s="26">
        <v>0.61111000000000004</v>
      </c>
      <c r="J27" s="2">
        <v>3</v>
      </c>
      <c r="K27" s="32">
        <v>6786815364</v>
      </c>
      <c r="L27" s="32">
        <v>2228129147603</v>
      </c>
      <c r="M27" s="32">
        <v>954226747571</v>
      </c>
      <c r="N27" s="32">
        <v>2228129147603</v>
      </c>
      <c r="O27" s="26">
        <f t="shared" si="2"/>
        <v>0.43130963210496537</v>
      </c>
      <c r="P27" s="32">
        <v>954226747571</v>
      </c>
      <c r="Q27" s="32">
        <v>1273902400032</v>
      </c>
      <c r="R27" s="8">
        <f t="shared" si="3"/>
        <v>0.74905797143252906</v>
      </c>
      <c r="S27" s="32">
        <v>228129147603</v>
      </c>
      <c r="T27" s="8">
        <f t="shared" si="4"/>
        <v>26.153177742391314</v>
      </c>
    </row>
    <row r="28" spans="1:20" x14ac:dyDescent="0.35">
      <c r="A28" s="3">
        <v>9</v>
      </c>
      <c r="B28" s="4" t="s">
        <v>119</v>
      </c>
      <c r="C28" s="4">
        <v>2024</v>
      </c>
      <c r="D28" s="33">
        <v>887280000000</v>
      </c>
      <c r="E28" s="33">
        <v>1399270861628</v>
      </c>
      <c r="F28" s="33">
        <f t="shared" si="0"/>
        <v>2286550861628</v>
      </c>
      <c r="G28" s="33">
        <v>2755475158820</v>
      </c>
      <c r="H28" s="9">
        <f t="shared" si="1"/>
        <v>0.82982089470448672</v>
      </c>
      <c r="I28" s="27">
        <v>0.66666999999999998</v>
      </c>
      <c r="J28" s="3">
        <v>3</v>
      </c>
      <c r="K28" s="33">
        <v>49531154405</v>
      </c>
      <c r="L28" s="33">
        <v>2755475158820</v>
      </c>
      <c r="M28" s="33">
        <v>1399270861628</v>
      </c>
      <c r="N28" s="33">
        <v>2755475158820</v>
      </c>
      <c r="O28" s="27">
        <f t="shared" si="2"/>
        <v>0.52579026575345089</v>
      </c>
      <c r="P28" s="33">
        <v>1399270861628</v>
      </c>
      <c r="Q28" s="33">
        <v>1356204297192</v>
      </c>
      <c r="R28" s="9">
        <f t="shared" si="3"/>
        <v>1.0317552189778256</v>
      </c>
      <c r="S28" s="33">
        <v>2755475158820</v>
      </c>
      <c r="T28" s="9">
        <f t="shared" si="4"/>
        <v>28.644611015102953</v>
      </c>
    </row>
    <row r="29" spans="1:20" x14ac:dyDescent="0.35">
      <c r="A29" s="2">
        <v>10</v>
      </c>
      <c r="B29" s="1" t="s">
        <v>160</v>
      </c>
      <c r="C29" s="1">
        <v>2022</v>
      </c>
      <c r="D29" s="32">
        <v>167270400000</v>
      </c>
      <c r="E29" s="32">
        <v>1257313269665</v>
      </c>
      <c r="F29" s="32">
        <f>D29+G29</f>
        <v>1722066374228</v>
      </c>
      <c r="G29" s="32">
        <v>1554795974228</v>
      </c>
      <c r="H29" s="8">
        <f t="shared" si="1"/>
        <v>1.1075835046994218</v>
      </c>
      <c r="I29" s="26">
        <v>0.55556000000000005</v>
      </c>
      <c r="J29" s="2">
        <v>3</v>
      </c>
      <c r="K29" s="32">
        <v>84163401315</v>
      </c>
      <c r="L29" s="32">
        <v>1554795974228</v>
      </c>
      <c r="M29" s="32">
        <v>1257313269665</v>
      </c>
      <c r="N29" s="32">
        <v>1554795974228</v>
      </c>
      <c r="O29" s="26">
        <f t="shared" si="2"/>
        <v>0.86279916671773027</v>
      </c>
      <c r="P29" s="32">
        <v>1257313269665</v>
      </c>
      <c r="Q29" s="32">
        <v>297482704563</v>
      </c>
      <c r="R29" s="8">
        <f t="shared" si="3"/>
        <v>4.226508803299958</v>
      </c>
      <c r="S29" s="32">
        <v>1554795974228</v>
      </c>
      <c r="T29" s="8">
        <f t="shared" si="4"/>
        <v>28.072365446667202</v>
      </c>
    </row>
    <row r="30" spans="1:20" x14ac:dyDescent="0.35">
      <c r="A30" s="2">
        <v>10</v>
      </c>
      <c r="B30" s="1" t="s">
        <v>160</v>
      </c>
      <c r="C30" s="1">
        <v>2023</v>
      </c>
      <c r="D30" s="32">
        <v>129254400000</v>
      </c>
      <c r="E30" s="32">
        <v>1202948785324</v>
      </c>
      <c r="F30" s="32">
        <f>D30+G30</f>
        <v>1606127233252</v>
      </c>
      <c r="G30" s="32">
        <v>1476872833252</v>
      </c>
      <c r="H30" s="8">
        <f t="shared" si="1"/>
        <v>1.087518977321418</v>
      </c>
      <c r="I30" s="26">
        <v>0.55556000000000005</v>
      </c>
      <c r="J30" s="2">
        <v>3</v>
      </c>
      <c r="K30" s="32">
        <v>29522718095</v>
      </c>
      <c r="L30" s="32">
        <v>1476872833252</v>
      </c>
      <c r="M30" s="32">
        <v>1202948785324</v>
      </c>
      <c r="N30" s="32">
        <v>1476872833252</v>
      </c>
      <c r="O30" s="26">
        <f t="shared" si="2"/>
        <v>0.83451430324245279</v>
      </c>
      <c r="P30" s="32">
        <v>1202948785324</v>
      </c>
      <c r="Q30" s="32">
        <v>273924047928</v>
      </c>
      <c r="R30" s="8">
        <f t="shared" si="3"/>
        <v>4.3915413576254938</v>
      </c>
      <c r="S30" s="32">
        <v>1476872833252</v>
      </c>
      <c r="T30" s="8">
        <f t="shared" si="4"/>
        <v>28.02094801776979</v>
      </c>
    </row>
    <row r="31" spans="1:20" x14ac:dyDescent="0.35">
      <c r="A31" s="3">
        <v>10</v>
      </c>
      <c r="B31" s="4" t="s">
        <v>160</v>
      </c>
      <c r="C31" s="4">
        <v>2024</v>
      </c>
      <c r="D31" s="33">
        <v>60825600000</v>
      </c>
      <c r="E31" s="33">
        <v>1045017291687</v>
      </c>
      <c r="F31" s="33">
        <f>D31+G31</f>
        <v>1301908694623</v>
      </c>
      <c r="G31" s="33">
        <v>1241083094623</v>
      </c>
      <c r="H31" s="9">
        <f t="shared" si="1"/>
        <v>1.0490100947015775</v>
      </c>
      <c r="I31" s="27">
        <v>0.55556000000000005</v>
      </c>
      <c r="J31" s="3">
        <v>3</v>
      </c>
      <c r="K31" s="33">
        <v>16843699661</v>
      </c>
      <c r="L31" s="33">
        <v>1241083094623</v>
      </c>
      <c r="M31" s="33">
        <v>1045017291687</v>
      </c>
      <c r="N31" s="33">
        <v>1241083094623</v>
      </c>
      <c r="O31" s="27">
        <f t="shared" si="2"/>
        <v>0.85559218069162257</v>
      </c>
      <c r="P31" s="33">
        <v>1045017291687</v>
      </c>
      <c r="Q31" s="33">
        <v>196065802936</v>
      </c>
      <c r="R31" s="9">
        <f t="shared" si="3"/>
        <v>5.3299314619802187</v>
      </c>
      <c r="S31" s="33">
        <v>1241083094623</v>
      </c>
      <c r="T31" s="9">
        <f t="shared" si="4"/>
        <v>27.847005577703968</v>
      </c>
    </row>
    <row r="32" spans="1:20" x14ac:dyDescent="0.35">
      <c r="A32" s="2">
        <v>11</v>
      </c>
      <c r="B32" s="1" t="s">
        <v>120</v>
      </c>
      <c r="C32" s="1">
        <v>2022</v>
      </c>
      <c r="D32" s="32">
        <v>1767754040000</v>
      </c>
      <c r="E32" s="32">
        <v>3261369000000</v>
      </c>
      <c r="F32" s="32">
        <f t="shared" si="0"/>
        <v>5029123040000</v>
      </c>
      <c r="G32" s="32">
        <v>7405931000000</v>
      </c>
      <c r="H32" s="8">
        <f t="shared" si="1"/>
        <v>0.67906695863085953</v>
      </c>
      <c r="I32" s="26">
        <v>0.77778000000000003</v>
      </c>
      <c r="J32" s="2">
        <v>3</v>
      </c>
      <c r="K32" s="32">
        <v>50178000000</v>
      </c>
      <c r="L32" s="32">
        <v>7405931000000</v>
      </c>
      <c r="M32" s="32">
        <v>3261369000000</v>
      </c>
      <c r="N32" s="32">
        <v>7405931000000</v>
      </c>
      <c r="O32" s="26">
        <f t="shared" si="2"/>
        <v>0.44714796829730119</v>
      </c>
      <c r="P32" s="32">
        <v>3261369000000</v>
      </c>
      <c r="Q32" s="32">
        <v>4144535000000</v>
      </c>
      <c r="R32" s="8">
        <f t="shared" si="3"/>
        <v>0.7869083021376343</v>
      </c>
      <c r="S32" s="32">
        <v>7405931000000</v>
      </c>
      <c r="T32" s="8">
        <f t="shared" si="4"/>
        <v>29.633302281606383</v>
      </c>
    </row>
    <row r="33" spans="1:20" x14ac:dyDescent="0.35">
      <c r="A33" s="2">
        <v>11</v>
      </c>
      <c r="B33" s="1" t="s">
        <v>120</v>
      </c>
      <c r="C33" s="1">
        <v>2023</v>
      </c>
      <c r="D33" s="32">
        <v>2098309674220</v>
      </c>
      <c r="E33" s="32">
        <v>3353362000000</v>
      </c>
      <c r="F33" s="32">
        <f t="shared" si="0"/>
        <v>5451671674220</v>
      </c>
      <c r="G33" s="32">
        <v>7971708000000</v>
      </c>
      <c r="H33" s="8">
        <f t="shared" si="1"/>
        <v>0.68387749202805725</v>
      </c>
      <c r="I33" s="26">
        <v>0.77778000000000003</v>
      </c>
      <c r="J33" s="2">
        <v>3</v>
      </c>
      <c r="K33" s="32">
        <v>176938000000</v>
      </c>
      <c r="L33" s="32">
        <v>7971708000000</v>
      </c>
      <c r="M33" s="32">
        <v>3353362000000</v>
      </c>
      <c r="N33" s="32">
        <v>7971708000000</v>
      </c>
      <c r="O33" s="26">
        <f t="shared" si="2"/>
        <v>0.44285365194008613</v>
      </c>
      <c r="P33" s="32">
        <v>3353362000000</v>
      </c>
      <c r="Q33" s="32">
        <v>4618346000000</v>
      </c>
      <c r="R33" s="8">
        <f t="shared" si="3"/>
        <v>0.72609587934728148</v>
      </c>
      <c r="S33" s="32">
        <v>7971708000000</v>
      </c>
      <c r="T33" s="8">
        <f t="shared" si="4"/>
        <v>29.706919889409573</v>
      </c>
    </row>
    <row r="34" spans="1:20" x14ac:dyDescent="0.35">
      <c r="A34" s="3">
        <v>11</v>
      </c>
      <c r="B34" s="4" t="s">
        <v>120</v>
      </c>
      <c r="C34" s="4">
        <v>2024</v>
      </c>
      <c r="D34" s="33">
        <v>1925845865380</v>
      </c>
      <c r="E34" s="33">
        <v>3251676000000</v>
      </c>
      <c r="F34" s="33">
        <f t="shared" si="0"/>
        <v>5177521865380</v>
      </c>
      <c r="G34" s="33">
        <v>8295427000000</v>
      </c>
      <c r="H34" s="9">
        <f t="shared" si="1"/>
        <v>0.62414169462042157</v>
      </c>
      <c r="I34" s="27">
        <v>0.77778000000000003</v>
      </c>
      <c r="J34" s="3">
        <v>3</v>
      </c>
      <c r="K34" s="33">
        <v>503649000000</v>
      </c>
      <c r="L34" s="33">
        <v>8295427000000</v>
      </c>
      <c r="M34" s="33">
        <v>3251676000000</v>
      </c>
      <c r="N34" s="33">
        <v>8295427000000</v>
      </c>
      <c r="O34" s="27">
        <f t="shared" si="2"/>
        <v>0.45269821553489648</v>
      </c>
      <c r="P34" s="33">
        <v>3251676000000</v>
      </c>
      <c r="Q34" s="33">
        <v>5043751000000</v>
      </c>
      <c r="R34" s="9">
        <f t="shared" si="3"/>
        <v>0.64469399857368059</v>
      </c>
      <c r="S34" s="33">
        <v>8295427000000</v>
      </c>
      <c r="T34" s="9">
        <f t="shared" si="4"/>
        <v>29.746725515039319</v>
      </c>
    </row>
    <row r="35" spans="1:20" x14ac:dyDescent="0.35">
      <c r="A35" s="2">
        <v>12</v>
      </c>
      <c r="B35" s="1" t="s">
        <v>121</v>
      </c>
      <c r="C35" s="1">
        <v>2022</v>
      </c>
      <c r="D35" s="32">
        <v>6306925389400</v>
      </c>
      <c r="E35" s="32">
        <f>15592*2609848000</f>
        <v>40692750016000</v>
      </c>
      <c r="F35" s="32">
        <f t="shared" si="0"/>
        <v>46999675405400</v>
      </c>
      <c r="G35" s="32">
        <f>15592*3162434000</f>
        <v>49308670928000</v>
      </c>
      <c r="H35" s="8">
        <f t="shared" si="1"/>
        <v>0.95317262706245787</v>
      </c>
      <c r="I35" s="26">
        <v>0.77778000000000003</v>
      </c>
      <c r="J35" s="2">
        <v>3</v>
      </c>
      <c r="K35" s="32">
        <f>15592*78866000</f>
        <v>1229678672000</v>
      </c>
      <c r="L35" s="32">
        <v>49308670928000</v>
      </c>
      <c r="M35" s="32">
        <v>40692750016000</v>
      </c>
      <c r="N35" s="32">
        <v>49308670928000</v>
      </c>
      <c r="O35" s="26">
        <f t="shared" si="2"/>
        <v>0.85020398844687362</v>
      </c>
      <c r="P35" s="32">
        <v>40692750016000</v>
      </c>
      <c r="Q35" s="32">
        <f>15592*552586000</f>
        <v>8615920912000</v>
      </c>
      <c r="R35" s="8">
        <f t="shared" si="3"/>
        <v>4.7229716279456957</v>
      </c>
      <c r="S35" s="32">
        <v>49308670928000</v>
      </c>
      <c r="T35" s="8">
        <f t="shared" si="4"/>
        <v>31.529121062404457</v>
      </c>
    </row>
    <row r="36" spans="1:20" x14ac:dyDescent="0.35">
      <c r="A36" s="2">
        <v>12</v>
      </c>
      <c r="B36" s="1" t="s">
        <v>121</v>
      </c>
      <c r="C36" s="1">
        <v>2023</v>
      </c>
      <c r="D36" s="32">
        <v>2747188359800</v>
      </c>
      <c r="E36" s="32">
        <f>15439*2352388000</f>
        <v>36318518332000</v>
      </c>
      <c r="F36" s="32">
        <f t="shared" si="0"/>
        <v>39065706691800</v>
      </c>
      <c r="G36" s="32">
        <f>15439*2849189000</f>
        <v>43988628971000</v>
      </c>
      <c r="H36" s="8">
        <f t="shared" si="1"/>
        <v>0.88808648065741058</v>
      </c>
      <c r="I36" s="26">
        <v>0.77778000000000003</v>
      </c>
      <c r="J36" s="2">
        <v>3</v>
      </c>
      <c r="K36" s="32">
        <f>15439*102704000</f>
        <v>1585647056000</v>
      </c>
      <c r="L36" s="32">
        <v>43988628971000</v>
      </c>
      <c r="M36" s="32">
        <v>36318518332000</v>
      </c>
      <c r="N36" s="32">
        <v>43988628971000</v>
      </c>
      <c r="O36" s="26">
        <f t="shared" si="2"/>
        <v>0.86168099062575343</v>
      </c>
      <c r="P36" s="32">
        <v>36318518332000</v>
      </c>
      <c r="Q36" s="32">
        <f>15439*496801000</f>
        <v>7670110639000</v>
      </c>
      <c r="R36" s="8">
        <f t="shared" si="3"/>
        <v>4.7350709841566339</v>
      </c>
      <c r="S36" s="32">
        <v>43988628971000</v>
      </c>
      <c r="T36" s="8">
        <f t="shared" si="4"/>
        <v>31.414952283970109</v>
      </c>
    </row>
    <row r="37" spans="1:20" x14ac:dyDescent="0.35">
      <c r="A37" s="3">
        <v>12</v>
      </c>
      <c r="B37" s="4" t="s">
        <v>121</v>
      </c>
      <c r="C37" s="4">
        <v>2024</v>
      </c>
      <c r="D37" s="33">
        <v>1953986086900</v>
      </c>
      <c r="E37" s="33">
        <f>16157*2459433000</f>
        <v>39737058981000</v>
      </c>
      <c r="F37" s="33">
        <f t="shared" si="0"/>
        <v>41691045067900</v>
      </c>
      <c r="G37" s="33">
        <f>16157*2894616000</f>
        <v>46768310712000</v>
      </c>
      <c r="H37" s="9">
        <f t="shared" si="1"/>
        <v>0.89143790813044577</v>
      </c>
      <c r="I37" s="27">
        <v>0.77778000000000003</v>
      </c>
      <c r="J37" s="3">
        <v>3</v>
      </c>
      <c r="K37" s="33">
        <f>16157*100304000</f>
        <v>1620611728000</v>
      </c>
      <c r="L37" s="33">
        <v>46768310712000</v>
      </c>
      <c r="M37" s="33">
        <v>39737058981000</v>
      </c>
      <c r="N37" s="33">
        <v>46768310712000</v>
      </c>
      <c r="O37" s="27">
        <f t="shared" si="2"/>
        <v>0.88430969772847234</v>
      </c>
      <c r="P37" s="33">
        <v>39737058981000</v>
      </c>
      <c r="Q37" s="33">
        <f>16157*435183000</f>
        <v>7031251731000</v>
      </c>
      <c r="R37" s="9">
        <f t="shared" si="3"/>
        <v>5.6514914415314941</v>
      </c>
      <c r="S37" s="33">
        <v>46768310712000</v>
      </c>
      <c r="T37" s="9">
        <f t="shared" si="4"/>
        <v>31.47622696796336</v>
      </c>
    </row>
    <row r="38" spans="1:20" x14ac:dyDescent="0.35">
      <c r="A38" s="2">
        <v>13</v>
      </c>
      <c r="B38" s="1" t="s">
        <v>122</v>
      </c>
      <c r="C38" s="1">
        <v>2022</v>
      </c>
      <c r="D38" s="32">
        <v>439535200000</v>
      </c>
      <c r="E38" s="32">
        <v>209683140222</v>
      </c>
      <c r="F38" s="32">
        <f t="shared" si="0"/>
        <v>649218340222</v>
      </c>
      <c r="G38" s="32">
        <v>684497878481</v>
      </c>
      <c r="H38" s="8">
        <f t="shared" si="1"/>
        <v>0.94845924382221547</v>
      </c>
      <c r="I38" s="26">
        <v>0.55556000000000005</v>
      </c>
      <c r="J38" s="2">
        <v>2</v>
      </c>
      <c r="K38" s="32">
        <v>47307400933</v>
      </c>
      <c r="L38" s="32">
        <v>648497878481</v>
      </c>
      <c r="M38" s="32">
        <v>209683140222</v>
      </c>
      <c r="N38" s="32">
        <v>648497878481</v>
      </c>
      <c r="O38" s="26">
        <f t="shared" si="2"/>
        <v>0.39628586257977938</v>
      </c>
      <c r="P38" s="32">
        <v>209683140222</v>
      </c>
      <c r="Q38" s="32">
        <v>474814738259</v>
      </c>
      <c r="R38" s="8">
        <f t="shared" si="3"/>
        <v>0.44161042892401309</v>
      </c>
      <c r="S38" s="32">
        <v>648497878481</v>
      </c>
      <c r="T38" s="8">
        <f t="shared" si="4"/>
        <v>27.197924569272732</v>
      </c>
    </row>
    <row r="39" spans="1:20" x14ac:dyDescent="0.35">
      <c r="A39" s="2">
        <v>13</v>
      </c>
      <c r="B39" s="1" t="s">
        <v>122</v>
      </c>
      <c r="C39" s="1">
        <v>2023</v>
      </c>
      <c r="D39" s="32">
        <v>299092000000</v>
      </c>
      <c r="E39" s="32">
        <v>251503203972</v>
      </c>
      <c r="F39" s="32">
        <f t="shared" si="0"/>
        <v>550595203972</v>
      </c>
      <c r="G39" s="32">
        <v>742886859560</v>
      </c>
      <c r="H39" s="8">
        <f t="shared" si="1"/>
        <v>0.74115620284104733</v>
      </c>
      <c r="I39" s="26">
        <v>0.55556000000000005</v>
      </c>
      <c r="J39" s="2">
        <v>2</v>
      </c>
      <c r="K39" s="32">
        <v>64111821075</v>
      </c>
      <c r="L39" s="32">
        <v>742886859560</v>
      </c>
      <c r="M39" s="32">
        <v>251503203972</v>
      </c>
      <c r="N39" s="32">
        <v>742886859560</v>
      </c>
      <c r="O39" s="26">
        <f t="shared" si="2"/>
        <v>0.42484938451318649</v>
      </c>
      <c r="P39" s="32">
        <v>251503203972</v>
      </c>
      <c r="Q39" s="32">
        <v>491383655588</v>
      </c>
      <c r="R39" s="8">
        <f t="shared" si="3"/>
        <v>0.51182655571041735</v>
      </c>
      <c r="S39" s="32">
        <v>742886859560</v>
      </c>
      <c r="T39" s="8">
        <f t="shared" si="4"/>
        <v>27.333809594914353</v>
      </c>
    </row>
    <row r="40" spans="1:20" x14ac:dyDescent="0.35">
      <c r="A40" s="3">
        <v>13</v>
      </c>
      <c r="B40" s="4" t="s">
        <v>122</v>
      </c>
      <c r="C40" s="4">
        <v>2024</v>
      </c>
      <c r="D40" s="33">
        <v>298604000000</v>
      </c>
      <c r="E40" s="33">
        <v>213118952936</v>
      </c>
      <c r="F40" s="33">
        <f t="shared" si="0"/>
        <v>511722952936</v>
      </c>
      <c r="G40" s="33">
        <v>714173448726</v>
      </c>
      <c r="H40" s="9">
        <f t="shared" si="1"/>
        <v>0.71652475158359996</v>
      </c>
      <c r="I40" s="27">
        <v>0.55556000000000005</v>
      </c>
      <c r="J40" s="3">
        <v>2</v>
      </c>
      <c r="K40" s="33">
        <v>144076149622</v>
      </c>
      <c r="L40" s="33">
        <v>714173448726</v>
      </c>
      <c r="M40" s="33">
        <v>213118952936</v>
      </c>
      <c r="N40" s="33">
        <v>714173448726</v>
      </c>
      <c r="O40" s="27">
        <f t="shared" si="2"/>
        <v>0.5001517533243407</v>
      </c>
      <c r="P40" s="33">
        <v>213118952936</v>
      </c>
      <c r="Q40" s="33">
        <v>501054495790</v>
      </c>
      <c r="R40" s="9">
        <f t="shared" si="3"/>
        <v>0.42534086556788742</v>
      </c>
      <c r="S40" s="33">
        <v>714173448726</v>
      </c>
      <c r="T40" s="9">
        <f t="shared" si="4"/>
        <v>27.294391695170955</v>
      </c>
    </row>
    <row r="41" spans="1:20" x14ac:dyDescent="0.35">
      <c r="A41" s="2">
        <v>14</v>
      </c>
      <c r="B41" s="1" t="s">
        <v>123</v>
      </c>
      <c r="C41" s="1">
        <v>2022</v>
      </c>
      <c r="D41" s="32">
        <v>1640177500000</v>
      </c>
      <c r="E41" s="32">
        <f>15731*136473263</f>
        <v>2146860900253</v>
      </c>
      <c r="F41" s="32">
        <f t="shared" si="0"/>
        <v>3787038400253</v>
      </c>
      <c r="G41" s="32">
        <f>15731*196375128</f>
        <v>3089177138568</v>
      </c>
      <c r="H41" s="8">
        <f t="shared" si="1"/>
        <v>1.2259052266612642</v>
      </c>
      <c r="I41" s="26">
        <v>0.55556000000000005</v>
      </c>
      <c r="J41" s="2">
        <v>3</v>
      </c>
      <c r="K41" s="32">
        <f>15731*24743407</f>
        <v>389238535517</v>
      </c>
      <c r="L41" s="32">
        <v>3089177138568</v>
      </c>
      <c r="M41" s="32">
        <v>2146860900253</v>
      </c>
      <c r="N41" s="32">
        <v>3089177138568</v>
      </c>
      <c r="O41" s="26">
        <f t="shared" si="2"/>
        <v>0.82096277487849689</v>
      </c>
      <c r="P41" s="32">
        <v>2146860900253</v>
      </c>
      <c r="Q41" s="32">
        <f>15731*59901865</f>
        <v>942316238315</v>
      </c>
      <c r="R41" s="8">
        <f t="shared" si="3"/>
        <v>2.278280701276997</v>
      </c>
      <c r="S41" s="32">
        <v>3089177138568</v>
      </c>
      <c r="T41" s="8">
        <f t="shared" si="4"/>
        <v>28.758925873176484</v>
      </c>
    </row>
    <row r="42" spans="1:20" x14ac:dyDescent="0.35">
      <c r="A42" s="2">
        <v>14</v>
      </c>
      <c r="B42" s="1" t="s">
        <v>123</v>
      </c>
      <c r="C42" s="1">
        <v>2023</v>
      </c>
      <c r="D42" s="32">
        <v>767098400000</v>
      </c>
      <c r="E42" s="32">
        <f>15416*80056950</f>
        <v>1234157941200</v>
      </c>
      <c r="F42" s="32">
        <f t="shared" si="0"/>
        <v>2001256341200</v>
      </c>
      <c r="G42" s="32">
        <f>15416*135817817</f>
        <v>2093767466872</v>
      </c>
      <c r="H42" s="8">
        <f t="shared" si="1"/>
        <v>0.95581595036902178</v>
      </c>
      <c r="I42" s="26">
        <v>0.55556000000000005</v>
      </c>
      <c r="J42" s="2">
        <v>3</v>
      </c>
      <c r="K42" s="32">
        <f>15416*9626871</f>
        <v>148407843336</v>
      </c>
      <c r="L42" s="32">
        <v>2093767466872</v>
      </c>
      <c r="M42" s="32">
        <v>1234157941200</v>
      </c>
      <c r="N42" s="32">
        <v>2093767466872</v>
      </c>
      <c r="O42" s="26">
        <f t="shared" si="2"/>
        <v>0.66032441826097088</v>
      </c>
      <c r="P42" s="32">
        <v>1234157941200</v>
      </c>
      <c r="Q42" s="32">
        <f>15416*55760867</f>
        <v>859609525672</v>
      </c>
      <c r="R42" s="8">
        <f t="shared" si="3"/>
        <v>1.4357192473352325</v>
      </c>
      <c r="S42" s="32">
        <v>2093767466872</v>
      </c>
      <c r="T42" s="8">
        <f t="shared" si="4"/>
        <v>28.369986174871617</v>
      </c>
    </row>
    <row r="43" spans="1:20" x14ac:dyDescent="0.35">
      <c r="A43" s="41">
        <v>14</v>
      </c>
      <c r="B43" s="4" t="s">
        <v>123</v>
      </c>
      <c r="C43" s="4">
        <v>2024</v>
      </c>
      <c r="D43" s="33">
        <v>595510600000</v>
      </c>
      <c r="E43" s="33">
        <f>16162*79412078</f>
        <v>1283458004636</v>
      </c>
      <c r="F43" s="33">
        <f t="shared" si="0"/>
        <v>1878968604636</v>
      </c>
      <c r="G43" s="33">
        <f>16162*135260257</f>
        <v>2186076273634</v>
      </c>
      <c r="H43" s="9">
        <f t="shared" si="1"/>
        <v>0.85951648956535132</v>
      </c>
      <c r="I43" s="27">
        <v>0.55556000000000005</v>
      </c>
      <c r="J43" s="3">
        <v>3</v>
      </c>
      <c r="K43" s="33">
        <f>16162*8441057</f>
        <v>136424363234</v>
      </c>
      <c r="L43" s="33">
        <v>2186076273634</v>
      </c>
      <c r="M43" s="33">
        <v>1283458004636</v>
      </c>
      <c r="N43" s="33">
        <v>2186076273634</v>
      </c>
      <c r="O43" s="27">
        <f t="shared" si="2"/>
        <v>0.64951181484151699</v>
      </c>
      <c r="P43" s="33">
        <v>1283458004636</v>
      </c>
      <c r="Q43" s="33">
        <f>16162*55848179</f>
        <v>902618268998</v>
      </c>
      <c r="R43" s="9">
        <f t="shared" si="3"/>
        <v>1.4219277946376729</v>
      </c>
      <c r="S43" s="33">
        <v>2186076273634</v>
      </c>
      <c r="T43" s="9">
        <f t="shared" si="4"/>
        <v>28.413129396947014</v>
      </c>
    </row>
    <row r="44" spans="1:20" x14ac:dyDescent="0.35">
      <c r="A44" s="40">
        <v>15</v>
      </c>
      <c r="B44" s="1" t="s">
        <v>161</v>
      </c>
      <c r="C44" s="1">
        <v>2022</v>
      </c>
      <c r="D44" s="32">
        <v>5907509714000</v>
      </c>
      <c r="E44" s="32">
        <v>4346015000000</v>
      </c>
      <c r="F44" s="32">
        <f t="shared" si="0"/>
        <v>10253524714000</v>
      </c>
      <c r="G44" s="32">
        <v>8041989000000</v>
      </c>
      <c r="H44" s="8">
        <f t="shared" si="1"/>
        <v>1.2749985997245208</v>
      </c>
      <c r="I44" s="26">
        <v>0.61111000000000004</v>
      </c>
      <c r="J44" s="2">
        <v>2</v>
      </c>
      <c r="K44" s="32">
        <v>636907000000</v>
      </c>
      <c r="L44" s="32">
        <v>8041989000000</v>
      </c>
      <c r="M44" s="32">
        <v>4346015000000</v>
      </c>
      <c r="N44" s="32">
        <v>8041989000000</v>
      </c>
      <c r="O44" s="26">
        <f t="shared" si="2"/>
        <v>0.61961313301970444</v>
      </c>
      <c r="P44" s="32">
        <v>4346015000000</v>
      </c>
      <c r="Q44" s="32">
        <v>3695974000000</v>
      </c>
      <c r="R44" s="8">
        <f t="shared" si="3"/>
        <v>1.1758781311773296</v>
      </c>
      <c r="S44" s="32">
        <v>8041989000000</v>
      </c>
      <c r="T44" s="8">
        <f t="shared" si="4"/>
        <v>29.715697556583745</v>
      </c>
    </row>
    <row r="45" spans="1:20" x14ac:dyDescent="0.35">
      <c r="A45" s="40">
        <v>15</v>
      </c>
      <c r="B45" s="1" t="s">
        <v>161</v>
      </c>
      <c r="C45" s="1">
        <v>2023</v>
      </c>
      <c r="D45" s="32">
        <v>4661323200000</v>
      </c>
      <c r="E45" s="32">
        <v>4069613000000</v>
      </c>
      <c r="F45" s="32">
        <f t="shared" si="0"/>
        <v>8730936200000</v>
      </c>
      <c r="G45" s="32">
        <v>7797759000000</v>
      </c>
      <c r="H45" s="8">
        <f t="shared" si="1"/>
        <v>1.1196724853897126</v>
      </c>
      <c r="I45" s="26">
        <v>0.66666999999999998</v>
      </c>
      <c r="J45" s="2">
        <v>3</v>
      </c>
      <c r="K45" s="32">
        <v>574850000000</v>
      </c>
      <c r="L45" s="32">
        <v>7797759000000</v>
      </c>
      <c r="M45" s="32">
        <v>4069613000000</v>
      </c>
      <c r="N45" s="32">
        <v>7797759000000</v>
      </c>
      <c r="O45" s="26">
        <f t="shared" si="2"/>
        <v>0.59561509915861721</v>
      </c>
      <c r="P45" s="32">
        <v>4069613000000</v>
      </c>
      <c r="Q45" s="32">
        <v>3728146000000</v>
      </c>
      <c r="R45" s="8">
        <f t="shared" si="3"/>
        <v>1.0915916383103021</v>
      </c>
      <c r="S45" s="32">
        <v>7797759000000</v>
      </c>
      <c r="T45" s="8">
        <f t="shared" si="4"/>
        <v>29.684857500651024</v>
      </c>
    </row>
    <row r="46" spans="1:20" x14ac:dyDescent="0.35">
      <c r="A46" s="41">
        <v>15</v>
      </c>
      <c r="B46" s="4" t="s">
        <v>161</v>
      </c>
      <c r="C46" s="4">
        <v>2024</v>
      </c>
      <c r="D46" s="33">
        <v>4293324000000</v>
      </c>
      <c r="E46" s="33">
        <v>4221635000000</v>
      </c>
      <c r="F46" s="33">
        <f t="shared" si="0"/>
        <v>8514959000000</v>
      </c>
      <c r="G46" s="33">
        <v>8005185000000</v>
      </c>
      <c r="H46" s="9">
        <f t="shared" si="1"/>
        <v>1.0636804770907855</v>
      </c>
      <c r="I46" s="27">
        <v>0.66666999999999998</v>
      </c>
      <c r="J46" s="3">
        <v>3</v>
      </c>
      <c r="K46" s="33">
        <v>384284000000</v>
      </c>
      <c r="L46" s="33">
        <v>8005185000000</v>
      </c>
      <c r="M46" s="33">
        <v>4221635000000</v>
      </c>
      <c r="N46" s="33">
        <v>8005185000000</v>
      </c>
      <c r="O46" s="27">
        <f t="shared" si="2"/>
        <v>0.57536696528562425</v>
      </c>
      <c r="P46" s="33">
        <v>4221635000000</v>
      </c>
      <c r="Q46" s="33">
        <v>3783550000000</v>
      </c>
      <c r="R46" s="9">
        <f t="shared" si="3"/>
        <v>1.1157867611105972</v>
      </c>
      <c r="S46" s="33">
        <v>8005185000000</v>
      </c>
      <c r="T46" s="9">
        <f t="shared" si="4"/>
        <v>29.711110572666083</v>
      </c>
    </row>
    <row r="47" spans="1:20" x14ac:dyDescent="0.35">
      <c r="A47" s="2">
        <v>16</v>
      </c>
      <c r="B47" s="1" t="s">
        <v>124</v>
      </c>
      <c r="C47" s="1">
        <v>2022</v>
      </c>
      <c r="D47" s="32">
        <v>39030740028000</v>
      </c>
      <c r="E47" s="32">
        <v>1217237000000</v>
      </c>
      <c r="F47" s="32">
        <f t="shared" si="0"/>
        <v>40247977028000</v>
      </c>
      <c r="G47" s="32">
        <v>10792122000000</v>
      </c>
      <c r="H47" s="8">
        <f t="shared" si="1"/>
        <v>3.7293849187397994</v>
      </c>
      <c r="I47" s="26">
        <v>0.61111000000000004</v>
      </c>
      <c r="J47" s="2">
        <v>4</v>
      </c>
      <c r="K47" s="32">
        <v>2170720000000</v>
      </c>
      <c r="L47" s="32">
        <v>10792122000000</v>
      </c>
      <c r="M47" s="32">
        <v>1217237000000</v>
      </c>
      <c r="N47" s="32">
        <v>10792122000000</v>
      </c>
      <c r="O47" s="26">
        <f>(K47/L47)+(M47/N47)</f>
        <v>0.31392871577989945</v>
      </c>
      <c r="P47" s="32">
        <v>1217237000000</v>
      </c>
      <c r="Q47" s="32">
        <v>9574885000000</v>
      </c>
      <c r="R47" s="8">
        <f t="shared" si="3"/>
        <v>0.12712810649945144</v>
      </c>
      <c r="S47" s="32">
        <v>10792122000000</v>
      </c>
      <c r="T47" s="8">
        <f t="shared" si="4"/>
        <v>30.00983753944023</v>
      </c>
    </row>
    <row r="48" spans="1:20" x14ac:dyDescent="0.35">
      <c r="A48" s="2">
        <v>16</v>
      </c>
      <c r="B48" s="1" t="s">
        <v>124</v>
      </c>
      <c r="C48" s="1">
        <v>2023</v>
      </c>
      <c r="D48" s="32">
        <v>30976777800000</v>
      </c>
      <c r="E48" s="32">
        <v>1245498000000</v>
      </c>
      <c r="F48" s="32">
        <f t="shared" si="0"/>
        <v>32222275800000</v>
      </c>
      <c r="G48" s="32">
        <v>11166987000000</v>
      </c>
      <c r="H48" s="8">
        <f t="shared" si="1"/>
        <v>2.8854941623913417</v>
      </c>
      <c r="I48" s="26">
        <v>0.61111000000000004</v>
      </c>
      <c r="J48" s="2">
        <v>4</v>
      </c>
      <c r="K48" s="32">
        <v>1230544000000</v>
      </c>
      <c r="L48" s="32">
        <v>11166987000000</v>
      </c>
      <c r="M48" s="32">
        <v>1245498000000</v>
      </c>
      <c r="N48" s="32">
        <v>11166987000000</v>
      </c>
      <c r="O48" s="26">
        <f t="shared" ref="O48:O82" si="5">(K48/L48)+(M48/N48)</f>
        <v>0.22172874384110952</v>
      </c>
      <c r="P48" s="32">
        <v>1245498000000</v>
      </c>
      <c r="Q48" s="32">
        <v>9921489000000</v>
      </c>
      <c r="R48" s="8">
        <f t="shared" si="3"/>
        <v>0.12553539090755431</v>
      </c>
      <c r="S48" s="32">
        <v>11166987000000</v>
      </c>
      <c r="T48" s="8">
        <f t="shared" si="4"/>
        <v>30.043982952247173</v>
      </c>
    </row>
    <row r="49" spans="1:20" x14ac:dyDescent="0.35">
      <c r="A49" s="3">
        <v>16</v>
      </c>
      <c r="B49" s="4" t="s">
        <v>124</v>
      </c>
      <c r="C49" s="4">
        <v>2024</v>
      </c>
      <c r="D49" s="33">
        <v>24781422240000</v>
      </c>
      <c r="E49" s="33">
        <v>1429095000000</v>
      </c>
      <c r="F49" s="33">
        <f t="shared" si="0"/>
        <v>26210517240000</v>
      </c>
      <c r="G49" s="33">
        <v>11060975000000</v>
      </c>
      <c r="H49" s="9">
        <f t="shared" si="1"/>
        <v>2.369638954974584</v>
      </c>
      <c r="I49" s="27">
        <v>0.61111000000000004</v>
      </c>
      <c r="J49" s="3">
        <v>4</v>
      </c>
      <c r="K49" s="33">
        <v>2329491000000</v>
      </c>
      <c r="L49" s="33">
        <v>11060975000000</v>
      </c>
      <c r="M49" s="33">
        <v>1429095000000</v>
      </c>
      <c r="N49" s="33">
        <v>11060975000000</v>
      </c>
      <c r="O49" s="27">
        <f t="shared" si="5"/>
        <v>0.33980602975777452</v>
      </c>
      <c r="P49" s="33">
        <v>1429095000000</v>
      </c>
      <c r="Q49" s="33">
        <v>9631880000000</v>
      </c>
      <c r="R49" s="9">
        <f t="shared" si="3"/>
        <v>0.14837134598852975</v>
      </c>
      <c r="S49" s="33">
        <v>11060975000000</v>
      </c>
      <c r="T49" s="9">
        <f t="shared" si="4"/>
        <v>30.034444263652638</v>
      </c>
    </row>
    <row r="50" spans="1:20" x14ac:dyDescent="0.35">
      <c r="A50" s="2">
        <v>17</v>
      </c>
      <c r="B50" s="1" t="s">
        <v>125</v>
      </c>
      <c r="C50" s="1">
        <v>2022</v>
      </c>
      <c r="D50" s="32">
        <v>42500000000</v>
      </c>
      <c r="E50" s="32">
        <v>25210354340</v>
      </c>
      <c r="F50" s="32">
        <f t="shared" si="0"/>
        <v>67710354340</v>
      </c>
      <c r="G50" s="32">
        <v>137718996489</v>
      </c>
      <c r="H50" s="8">
        <f t="shared" si="1"/>
        <v>0.49165587948070921</v>
      </c>
      <c r="I50" s="26">
        <v>0.77778000000000003</v>
      </c>
      <c r="J50" s="2">
        <v>2</v>
      </c>
      <c r="K50" s="32">
        <v>12948425080</v>
      </c>
      <c r="L50" s="32">
        <v>137718996489</v>
      </c>
      <c r="M50" s="32">
        <v>25210354340</v>
      </c>
      <c r="N50" s="32">
        <v>137718996489</v>
      </c>
      <c r="O50" s="26">
        <f t="shared" si="5"/>
        <v>0.27707709461161989</v>
      </c>
      <c r="P50" s="32">
        <v>25210354340</v>
      </c>
      <c r="Q50" s="32">
        <v>112508642149</v>
      </c>
      <c r="R50" s="8">
        <f t="shared" si="3"/>
        <v>0.22407482535086373</v>
      </c>
      <c r="S50" s="32">
        <v>137718996489</v>
      </c>
      <c r="T50" s="8">
        <f t="shared" si="4"/>
        <v>25.648481188786935</v>
      </c>
    </row>
    <row r="51" spans="1:20" x14ac:dyDescent="0.35">
      <c r="A51" s="2">
        <v>17</v>
      </c>
      <c r="B51" s="1" t="s">
        <v>125</v>
      </c>
      <c r="C51" s="1">
        <v>2023</v>
      </c>
      <c r="D51" s="32">
        <v>204003935280</v>
      </c>
      <c r="E51" s="32">
        <v>37177780014</v>
      </c>
      <c r="F51" s="32">
        <f t="shared" si="0"/>
        <v>241181715294</v>
      </c>
      <c r="G51" s="32">
        <v>148369110899</v>
      </c>
      <c r="H51" s="8">
        <f t="shared" si="1"/>
        <v>1.6255520696500012</v>
      </c>
      <c r="I51" s="26">
        <v>0.77778000000000003</v>
      </c>
      <c r="J51" s="2">
        <v>3</v>
      </c>
      <c r="K51" s="32">
        <v>5611028352</v>
      </c>
      <c r="L51" s="32">
        <v>148369110899</v>
      </c>
      <c r="M51" s="32">
        <v>37177780014</v>
      </c>
      <c r="N51" s="32">
        <v>148369110899</v>
      </c>
      <c r="O51" s="26">
        <f t="shared" si="5"/>
        <v>0.28839431675996108</v>
      </c>
      <c r="P51" s="32">
        <v>37177780014</v>
      </c>
      <c r="Q51" s="32">
        <v>111191330885</v>
      </c>
      <c r="R51" s="8">
        <f t="shared" si="3"/>
        <v>0.33435862056954102</v>
      </c>
      <c r="S51" s="32">
        <v>148369110899</v>
      </c>
      <c r="T51" s="8">
        <f t="shared" si="4"/>
        <v>25.722968998433114</v>
      </c>
    </row>
    <row r="52" spans="1:20" x14ac:dyDescent="0.35">
      <c r="A52" s="3">
        <v>17</v>
      </c>
      <c r="B52" s="4" t="s">
        <v>125</v>
      </c>
      <c r="C52" s="4">
        <v>2024</v>
      </c>
      <c r="D52" s="33">
        <v>107100919422</v>
      </c>
      <c r="E52" s="33">
        <v>54957129793</v>
      </c>
      <c r="F52" s="33">
        <f t="shared" si="0"/>
        <v>162058049215</v>
      </c>
      <c r="G52" s="33">
        <v>170328129268</v>
      </c>
      <c r="H52" s="9">
        <f t="shared" si="1"/>
        <v>0.95144618749386034</v>
      </c>
      <c r="I52" s="27">
        <v>0.83333000000000002</v>
      </c>
      <c r="J52" s="3">
        <v>3</v>
      </c>
      <c r="K52" s="33">
        <v>7779670079</v>
      </c>
      <c r="L52" s="33">
        <v>170328129268</v>
      </c>
      <c r="M52" s="33">
        <v>54957129793</v>
      </c>
      <c r="N52" s="33">
        <v>170328129268</v>
      </c>
      <c r="O52" s="27">
        <f t="shared" si="5"/>
        <v>0.36832906074655358</v>
      </c>
      <c r="P52" s="33">
        <v>54957129793</v>
      </c>
      <c r="Q52" s="33">
        <v>115370999475</v>
      </c>
      <c r="R52" s="9">
        <f t="shared" si="3"/>
        <v>0.476351336497772</v>
      </c>
      <c r="S52" s="33">
        <v>170328129268</v>
      </c>
      <c r="T52" s="9">
        <f t="shared" si="4"/>
        <v>25.860992585772614</v>
      </c>
    </row>
    <row r="53" spans="1:20" x14ac:dyDescent="0.35">
      <c r="A53" s="2">
        <v>18</v>
      </c>
      <c r="B53" s="1" t="s">
        <v>126</v>
      </c>
      <c r="C53" s="1">
        <v>2022</v>
      </c>
      <c r="D53" s="32">
        <v>222437470886440</v>
      </c>
      <c r="E53" s="32">
        <f>14925*2120765000</f>
        <v>31652417625000</v>
      </c>
      <c r="F53" s="32">
        <f t="shared" si="0"/>
        <v>254089888511440</v>
      </c>
      <c r="G53" s="32">
        <f>14925*4929871000</f>
        <v>73578324675000</v>
      </c>
      <c r="H53" s="8">
        <f t="shared" si="1"/>
        <v>3.4533252779778651</v>
      </c>
      <c r="I53" s="26">
        <v>0.83333000000000002</v>
      </c>
      <c r="J53" s="2">
        <v>4</v>
      </c>
      <c r="K53" s="32">
        <f>14925*1403973000</f>
        <v>20954297025000</v>
      </c>
      <c r="L53" s="32">
        <v>73578324675000</v>
      </c>
      <c r="M53" s="32">
        <v>31652417625000</v>
      </c>
      <c r="N53" s="32">
        <v>73578324675000</v>
      </c>
      <c r="O53" s="26">
        <f t="shared" si="5"/>
        <v>0.71497570626087381</v>
      </c>
      <c r="P53" s="32">
        <v>31652417625000</v>
      </c>
      <c r="Q53" s="32">
        <f>14925*2809106000</f>
        <v>41925907050000</v>
      </c>
      <c r="R53" s="8">
        <f t="shared" si="3"/>
        <v>0.7549608309547593</v>
      </c>
      <c r="S53" s="32">
        <v>73578324675000</v>
      </c>
      <c r="T53" s="8">
        <f t="shared" si="4"/>
        <v>31.929371596590869</v>
      </c>
    </row>
    <row r="54" spans="1:20" ht="15" customHeight="1" x14ac:dyDescent="0.35">
      <c r="A54" s="2">
        <v>18</v>
      </c>
      <c r="B54" s="1" t="s">
        <v>126</v>
      </c>
      <c r="C54" s="1">
        <v>2023</v>
      </c>
      <c r="D54" s="32">
        <v>454395611733000</v>
      </c>
      <c r="E54" s="32">
        <f>15385*2620552000</f>
        <v>40317192520000</v>
      </c>
      <c r="F54" s="32">
        <f t="shared" si="0"/>
        <v>494712804253000</v>
      </c>
      <c r="G54" s="32">
        <f>15385*5614452000</f>
        <v>86378344020000</v>
      </c>
      <c r="H54" s="8">
        <f t="shared" si="1"/>
        <v>5.7272781721591519</v>
      </c>
      <c r="I54" s="26">
        <v>0.83333000000000002</v>
      </c>
      <c r="J54" s="2">
        <v>5</v>
      </c>
      <c r="K54" s="32">
        <f>15385*1439797000</f>
        <v>22151276845000</v>
      </c>
      <c r="L54" s="32">
        <v>86378344020000</v>
      </c>
      <c r="M54" s="32">
        <v>40317192520000</v>
      </c>
      <c r="N54" s="32">
        <v>86378344020000</v>
      </c>
      <c r="O54" s="26">
        <f t="shared" si="5"/>
        <v>0.72319595928507363</v>
      </c>
      <c r="P54" s="32">
        <v>40317192520000</v>
      </c>
      <c r="Q54" s="32">
        <f>15385*2993900000</f>
        <v>46061151500000</v>
      </c>
      <c r="R54" s="8">
        <f t="shared" si="3"/>
        <v>0.87529710411169381</v>
      </c>
      <c r="S54" s="32">
        <v>86378344020000</v>
      </c>
      <c r="T54" s="8">
        <f t="shared" si="4"/>
        <v>32.089758112404454</v>
      </c>
    </row>
    <row r="55" spans="1:20" ht="16" customHeight="1" x14ac:dyDescent="0.35">
      <c r="A55" s="3">
        <v>18</v>
      </c>
      <c r="B55" s="4" t="s">
        <v>126</v>
      </c>
      <c r="C55" s="4">
        <v>2024</v>
      </c>
      <c r="D55" s="33">
        <v>649136588190000</v>
      </c>
      <c r="E55" s="33">
        <f>16393*2726123000</f>
        <v>44689334339000</v>
      </c>
      <c r="F55" s="33">
        <f t="shared" si="0"/>
        <v>693825922529000</v>
      </c>
      <c r="G55" s="33">
        <f>16393*5658866000</f>
        <v>92765790338000</v>
      </c>
      <c r="H55" s="9">
        <f t="shared" si="1"/>
        <v>7.4793296106354141</v>
      </c>
      <c r="I55" s="27">
        <v>0.83333000000000002</v>
      </c>
      <c r="J55" s="3">
        <v>4</v>
      </c>
      <c r="K55" s="33">
        <f>16393*1366818000</f>
        <v>22406247474000</v>
      </c>
      <c r="L55" s="33">
        <v>92765790338000</v>
      </c>
      <c r="M55" s="33">
        <v>44689334339000</v>
      </c>
      <c r="N55" s="33">
        <v>92765790338000</v>
      </c>
      <c r="O55" s="27">
        <f t="shared" si="5"/>
        <v>0.72327936374531576</v>
      </c>
      <c r="P55" s="33">
        <v>44689334339000</v>
      </c>
      <c r="Q55" s="33">
        <f>16393*2932743000</f>
        <v>48076455999000</v>
      </c>
      <c r="R55" s="9">
        <f t="shared" si="3"/>
        <v>0.92954718500734634</v>
      </c>
      <c r="S55" s="33">
        <v>92765790338000</v>
      </c>
      <c r="T55" s="9">
        <f t="shared" si="4"/>
        <v>32.161099049157656</v>
      </c>
    </row>
    <row r="56" spans="1:20" x14ac:dyDescent="0.35">
      <c r="A56" s="2">
        <v>19</v>
      </c>
      <c r="B56" s="1" t="s">
        <v>127</v>
      </c>
      <c r="C56" s="1">
        <v>2022</v>
      </c>
      <c r="D56" s="32">
        <v>3823730345925</v>
      </c>
      <c r="E56" s="32">
        <f>15731*42624419</f>
        <v>670524735289</v>
      </c>
      <c r="F56" s="32">
        <f t="shared" si="0"/>
        <v>4494255081214</v>
      </c>
      <c r="G56" s="32">
        <f>15731*317577675</f>
        <v>4995814405425</v>
      </c>
      <c r="H56" s="8">
        <f t="shared" si="1"/>
        <v>0.89960409184409407</v>
      </c>
      <c r="I56" s="26">
        <v>0.44444</v>
      </c>
      <c r="J56" s="2">
        <v>3</v>
      </c>
      <c r="K56" s="32">
        <f>15731*84173030</f>
        <v>1324125934930</v>
      </c>
      <c r="L56" s="32">
        <v>4995814405425</v>
      </c>
      <c r="M56" s="32">
        <v>670524735289</v>
      </c>
      <c r="N56" s="32">
        <v>4995814405425</v>
      </c>
      <c r="O56" s="26">
        <f t="shared" si="5"/>
        <v>0.39926436579649371</v>
      </c>
      <c r="P56" s="32">
        <v>670524735289</v>
      </c>
      <c r="Q56" s="32">
        <f>15731*274953256</f>
        <v>4325289670136</v>
      </c>
      <c r="R56" s="8">
        <f t="shared" si="3"/>
        <v>0.15502423801084211</v>
      </c>
      <c r="S56" s="32">
        <v>4995814405425</v>
      </c>
      <c r="T56" s="8">
        <f t="shared" si="4"/>
        <v>29.239621558867945</v>
      </c>
    </row>
    <row r="57" spans="1:20" x14ac:dyDescent="0.35">
      <c r="A57" s="40">
        <v>19</v>
      </c>
      <c r="B57" s="1" t="s">
        <v>127</v>
      </c>
      <c r="C57" s="1">
        <v>2023</v>
      </c>
      <c r="D57" s="32">
        <v>3143317176600</v>
      </c>
      <c r="E57" s="32">
        <f>15416*44840780</f>
        <v>691265464480</v>
      </c>
      <c r="F57" s="32">
        <f t="shared" si="0"/>
        <v>3834582641080</v>
      </c>
      <c r="G57" s="32">
        <f>15416*335210659</f>
        <v>5167607519144</v>
      </c>
      <c r="H57" s="8">
        <f t="shared" si="1"/>
        <v>0.74204215913734639</v>
      </c>
      <c r="I57" s="26">
        <v>0.44444</v>
      </c>
      <c r="J57" s="2">
        <v>3</v>
      </c>
      <c r="K57" s="32">
        <f>15416*87763425</f>
        <v>1352960959800</v>
      </c>
      <c r="L57" s="32">
        <v>5167607519144</v>
      </c>
      <c r="M57" s="32">
        <v>691265464480</v>
      </c>
      <c r="N57" s="32">
        <v>5167607519144</v>
      </c>
      <c r="O57" s="26">
        <f t="shared" si="5"/>
        <v>0.39558469111807093</v>
      </c>
      <c r="P57" s="32">
        <v>691265464480</v>
      </c>
      <c r="Q57" s="32">
        <f>15416*290369879</f>
        <v>4476342054664</v>
      </c>
      <c r="R57" s="8">
        <f t="shared" si="3"/>
        <v>0.15442641693562162</v>
      </c>
      <c r="S57" s="32">
        <v>5167607519144</v>
      </c>
      <c r="T57" s="8">
        <f t="shared" si="4"/>
        <v>29.273430935086843</v>
      </c>
    </row>
    <row r="58" spans="1:20" x14ac:dyDescent="0.35">
      <c r="A58" s="3">
        <v>19</v>
      </c>
      <c r="B58" s="4" t="s">
        <v>127</v>
      </c>
      <c r="C58" s="4">
        <v>2024</v>
      </c>
      <c r="D58" s="33">
        <v>3057067619925</v>
      </c>
      <c r="E58" s="33">
        <f>16162*41076836</f>
        <v>663883823432</v>
      </c>
      <c r="F58" s="33">
        <f t="shared" si="0"/>
        <v>3720951443357</v>
      </c>
      <c r="G58" s="33">
        <f>16162*341447342</f>
        <v>5518471941404</v>
      </c>
      <c r="H58" s="9">
        <f t="shared" si="1"/>
        <v>0.67427205988662176</v>
      </c>
      <c r="I58" s="27">
        <v>0.44444</v>
      </c>
      <c r="J58" s="3">
        <v>3</v>
      </c>
      <c r="K58" s="33">
        <f>16162*116067700</f>
        <v>1875886167400</v>
      </c>
      <c r="L58" s="33">
        <v>5518471941404</v>
      </c>
      <c r="M58" s="33">
        <v>663883823432</v>
      </c>
      <c r="N58" s="33">
        <v>5518471941404</v>
      </c>
      <c r="O58" s="27">
        <f t="shared" si="5"/>
        <v>0.46023066127719336</v>
      </c>
      <c r="P58" s="33">
        <v>663883823432</v>
      </c>
      <c r="Q58" s="33">
        <f>16162*300370506</f>
        <v>4854588117972</v>
      </c>
      <c r="R58" s="9">
        <f t="shared" si="3"/>
        <v>0.13675389287388956</v>
      </c>
      <c r="S58" s="33">
        <v>5518471941404</v>
      </c>
      <c r="T58" s="9">
        <f t="shared" si="4"/>
        <v>29.339122115685793</v>
      </c>
    </row>
    <row r="59" spans="1:20" x14ac:dyDescent="0.35">
      <c r="A59" s="2">
        <v>20</v>
      </c>
      <c r="B59" s="1" t="s">
        <v>128</v>
      </c>
      <c r="C59" s="1">
        <v>2022</v>
      </c>
      <c r="D59" s="32">
        <v>1213478252000</v>
      </c>
      <c r="E59" s="32">
        <f>15723*84735000</f>
        <v>1332288405000</v>
      </c>
      <c r="F59" s="32">
        <f t="shared" si="0"/>
        <v>2545766657000</v>
      </c>
      <c r="G59" s="32">
        <f>15723*192224000</f>
        <v>3022337952000</v>
      </c>
      <c r="H59" s="8">
        <f t="shared" si="1"/>
        <v>0.84231700671176302</v>
      </c>
      <c r="I59" s="26">
        <v>0.61111000000000004</v>
      </c>
      <c r="J59" s="2">
        <v>3</v>
      </c>
      <c r="K59" s="32">
        <f>15723*31225000</f>
        <v>490950675000</v>
      </c>
      <c r="L59" s="32">
        <v>3022337952000</v>
      </c>
      <c r="M59" s="32">
        <v>1332288405000</v>
      </c>
      <c r="N59" s="32">
        <v>3022337952000</v>
      </c>
      <c r="O59" s="26">
        <f t="shared" si="5"/>
        <v>0.6032545363742301</v>
      </c>
      <c r="P59" s="32">
        <v>1332288405000</v>
      </c>
      <c r="Q59" s="32">
        <f>15723*107489000</f>
        <v>1690049547000</v>
      </c>
      <c r="R59" s="8">
        <f t="shared" si="3"/>
        <v>0.78831322274837423</v>
      </c>
      <c r="S59" s="32">
        <v>3022337952000</v>
      </c>
      <c r="T59" s="8">
        <f t="shared" si="4"/>
        <v>28.7370518041023</v>
      </c>
    </row>
    <row r="60" spans="1:20" x14ac:dyDescent="0.35">
      <c r="A60" s="2">
        <v>20</v>
      </c>
      <c r="B60" s="1" t="s">
        <v>128</v>
      </c>
      <c r="C60" s="1">
        <v>2023</v>
      </c>
      <c r="D60" s="32">
        <v>1096583558000</v>
      </c>
      <c r="E60" s="32">
        <f>15408*75681000</f>
        <v>1166092848000</v>
      </c>
      <c r="F60" s="32">
        <f t="shared" si="0"/>
        <v>2262676406000</v>
      </c>
      <c r="G60" s="32">
        <f>15408*182670000</f>
        <v>2814579360000</v>
      </c>
      <c r="H60" s="8">
        <f t="shared" si="1"/>
        <v>0.80391281132680514</v>
      </c>
      <c r="I60" s="26">
        <v>0.66666999999999998</v>
      </c>
      <c r="J60" s="2">
        <v>3</v>
      </c>
      <c r="K60" s="32">
        <f>15408*25757000</f>
        <v>396863856000</v>
      </c>
      <c r="L60" s="32">
        <v>2814579360000</v>
      </c>
      <c r="M60" s="32">
        <v>1166092848000</v>
      </c>
      <c r="N60" s="32">
        <v>2814579360000</v>
      </c>
      <c r="O60" s="26">
        <f t="shared" si="5"/>
        <v>0.55530738490173537</v>
      </c>
      <c r="P60" s="32">
        <v>1166092848000</v>
      </c>
      <c r="Q60" s="32">
        <f>15408*106989000</f>
        <v>1648486512000</v>
      </c>
      <c r="R60" s="8">
        <f t="shared" si="3"/>
        <v>0.7073717858845302</v>
      </c>
      <c r="S60" s="32">
        <v>2814579360000</v>
      </c>
      <c r="T60" s="8">
        <f t="shared" si="4"/>
        <v>28.665833938290774</v>
      </c>
    </row>
    <row r="61" spans="1:20" x14ac:dyDescent="0.35">
      <c r="A61" s="3">
        <v>20</v>
      </c>
      <c r="B61" s="4" t="s">
        <v>128</v>
      </c>
      <c r="C61" s="4">
        <v>2024</v>
      </c>
      <c r="D61" s="33">
        <v>1046485832000</v>
      </c>
      <c r="E61" s="33">
        <f>16155*63321000</f>
        <v>1022950755000</v>
      </c>
      <c r="F61" s="33">
        <f t="shared" si="0"/>
        <v>2069436587000</v>
      </c>
      <c r="G61" s="33">
        <f>16155*161914000</f>
        <v>2615720670000</v>
      </c>
      <c r="H61" s="9">
        <f t="shared" si="1"/>
        <v>0.79115350913979665</v>
      </c>
      <c r="I61" s="27">
        <v>0.66666999999999998</v>
      </c>
      <c r="J61" s="3">
        <v>3</v>
      </c>
      <c r="K61" s="33">
        <f>16155*14487000</f>
        <v>234037485000</v>
      </c>
      <c r="L61" s="33">
        <v>2615720670000</v>
      </c>
      <c r="M61" s="33">
        <v>1022950755000</v>
      </c>
      <c r="N61" s="33">
        <v>2615720670000</v>
      </c>
      <c r="O61" s="27">
        <f t="shared" si="5"/>
        <v>0.48055140383166373</v>
      </c>
      <c r="P61" s="33">
        <v>1022950755000</v>
      </c>
      <c r="Q61" s="33">
        <f>16155*98593000</f>
        <v>1592769915000</v>
      </c>
      <c r="R61" s="9">
        <f t="shared" si="3"/>
        <v>0.64224640694572632</v>
      </c>
      <c r="S61" s="33">
        <v>2615720670000</v>
      </c>
      <c r="T61" s="9">
        <f t="shared" si="4"/>
        <v>28.592560766299439</v>
      </c>
    </row>
    <row r="62" spans="1:20" x14ac:dyDescent="0.35">
      <c r="A62" s="2">
        <v>21</v>
      </c>
      <c r="B62" s="1" t="s">
        <v>129</v>
      </c>
      <c r="C62" s="1">
        <v>2022</v>
      </c>
      <c r="D62" s="32">
        <v>1108261275548</v>
      </c>
      <c r="E62" s="32">
        <f>15731*102615800</f>
        <v>1614249149800</v>
      </c>
      <c r="F62" s="32">
        <f t="shared" si="0"/>
        <v>2722510425348</v>
      </c>
      <c r="G62" s="32">
        <f>15731*280534499</f>
        <v>4413088203769</v>
      </c>
      <c r="H62" s="8">
        <f t="shared" si="1"/>
        <v>0.61691729229949188</v>
      </c>
      <c r="I62" s="26">
        <v>0.66666999999999998</v>
      </c>
      <c r="J62" s="2">
        <v>3</v>
      </c>
      <c r="K62" s="32">
        <f>15731*12863521</f>
        <v>202356048851</v>
      </c>
      <c r="L62" s="32">
        <v>4413088203769</v>
      </c>
      <c r="M62" s="32">
        <v>1614249149800</v>
      </c>
      <c r="N62" s="32">
        <v>4413088203769</v>
      </c>
      <c r="O62" s="26">
        <f t="shared" si="5"/>
        <v>0.41164035586225711</v>
      </c>
      <c r="P62" s="32">
        <v>1614249149800</v>
      </c>
      <c r="Q62" s="32">
        <f>15731*177918699</f>
        <v>2798839053969</v>
      </c>
      <c r="R62" s="8">
        <f t="shared" si="3"/>
        <v>0.57675669042521494</v>
      </c>
      <c r="S62" s="32">
        <v>4413088203769</v>
      </c>
      <c r="T62" s="8">
        <f t="shared" si="4"/>
        <v>29.115595833274089</v>
      </c>
    </row>
    <row r="63" spans="1:20" x14ac:dyDescent="0.35">
      <c r="A63" s="2">
        <v>21</v>
      </c>
      <c r="B63" s="1" t="s">
        <v>129</v>
      </c>
      <c r="C63" s="1">
        <v>2023</v>
      </c>
      <c r="D63" s="32">
        <v>1000000000000</v>
      </c>
      <c r="E63" s="32">
        <f>15416*107102928</f>
        <v>1651098738048</v>
      </c>
      <c r="F63" s="32">
        <f t="shared" si="0"/>
        <v>2651098738048</v>
      </c>
      <c r="G63" s="32">
        <f>15416*284075431</f>
        <v>4379306844296</v>
      </c>
      <c r="H63" s="8">
        <f t="shared" si="1"/>
        <v>0.60536948706871896</v>
      </c>
      <c r="I63" s="26">
        <v>0.55556000000000005</v>
      </c>
      <c r="J63" s="2">
        <v>3</v>
      </c>
      <c r="K63" s="32">
        <f>15416*14269681</f>
        <v>219981402296</v>
      </c>
      <c r="L63" s="32">
        <v>5379306844296</v>
      </c>
      <c r="M63" s="32">
        <v>1651098738048</v>
      </c>
      <c r="N63" s="32">
        <v>5379306844296</v>
      </c>
      <c r="O63" s="26">
        <f t="shared" si="5"/>
        <v>0.34782922679490164</v>
      </c>
      <c r="P63" s="32">
        <v>1651098738048</v>
      </c>
      <c r="Q63" s="32">
        <f>15416*176972503</f>
        <v>2728208106248</v>
      </c>
      <c r="R63" s="8">
        <f t="shared" si="3"/>
        <v>0.60519530539724575</v>
      </c>
      <c r="S63" s="32">
        <v>5379306844296</v>
      </c>
      <c r="T63" s="8">
        <f t="shared" si="4"/>
        <v>29.313580642451555</v>
      </c>
    </row>
    <row r="64" spans="1:20" x14ac:dyDescent="0.35">
      <c r="A64" s="3">
        <v>21</v>
      </c>
      <c r="B64" s="4" t="s">
        <v>129</v>
      </c>
      <c r="C64" s="4">
        <v>2024</v>
      </c>
      <c r="D64" s="33">
        <v>837639336170</v>
      </c>
      <c r="E64" s="33">
        <f>16162*194776470</f>
        <v>3147977308140</v>
      </c>
      <c r="F64" s="33">
        <f t="shared" si="0"/>
        <v>3985616644310</v>
      </c>
      <c r="G64" s="33">
        <f>16162*371808583</f>
        <v>6009170318446</v>
      </c>
      <c r="H64" s="9">
        <f t="shared" si="1"/>
        <v>0.6632557296762891</v>
      </c>
      <c r="I64" s="27">
        <v>0.66666999999999998</v>
      </c>
      <c r="J64" s="3">
        <v>3</v>
      </c>
      <c r="K64" s="33">
        <f>16162*11683636</f>
        <v>188830925032</v>
      </c>
      <c r="L64" s="33">
        <v>6009170318446</v>
      </c>
      <c r="M64" s="33">
        <v>3147977308140</v>
      </c>
      <c r="N64" s="33">
        <v>6009170318446</v>
      </c>
      <c r="O64" s="27">
        <f t="shared" si="5"/>
        <v>0.55528601393260468</v>
      </c>
      <c r="P64" s="33">
        <v>3147977308140</v>
      </c>
      <c r="Q64" s="33">
        <f>16162*177032113</f>
        <v>2861193010306</v>
      </c>
      <c r="R64" s="9">
        <f t="shared" si="3"/>
        <v>1.100232419414211</v>
      </c>
      <c r="S64" s="33">
        <v>6009170318446</v>
      </c>
      <c r="T64" s="9">
        <f t="shared" si="4"/>
        <v>29.424307804770489</v>
      </c>
    </row>
    <row r="65" spans="1:20" x14ac:dyDescent="0.35">
      <c r="A65" s="2">
        <v>22</v>
      </c>
      <c r="B65" s="1" t="s">
        <v>130</v>
      </c>
      <c r="C65" s="1">
        <v>2022</v>
      </c>
      <c r="D65" s="32">
        <v>92648700000000</v>
      </c>
      <c r="E65" s="32">
        <v>13520331000000</v>
      </c>
      <c r="F65" s="32">
        <f t="shared" si="0"/>
        <v>106169031000000</v>
      </c>
      <c r="G65" s="32">
        <v>39847545000000</v>
      </c>
      <c r="H65" s="8">
        <f t="shared" si="1"/>
        <v>2.6643807291013788</v>
      </c>
      <c r="I65" s="26">
        <v>0.72221999999999997</v>
      </c>
      <c r="J65" s="2">
        <v>3</v>
      </c>
      <c r="K65" s="32">
        <v>2040000000000</v>
      </c>
      <c r="L65" s="32">
        <v>39847545000000</v>
      </c>
      <c r="M65" s="32">
        <v>13520331000000</v>
      </c>
      <c r="N65" s="32">
        <v>39857545000000</v>
      </c>
      <c r="O65" s="26">
        <f t="shared" si="5"/>
        <v>0.39041147544933213</v>
      </c>
      <c r="P65" s="32">
        <v>13520331000000</v>
      </c>
      <c r="Q65" s="32">
        <v>26327214000000</v>
      </c>
      <c r="R65" s="8">
        <f t="shared" si="3"/>
        <v>0.51354962967217122</v>
      </c>
      <c r="S65" s="32">
        <v>39875545000000</v>
      </c>
      <c r="T65" s="8">
        <f t="shared" si="4"/>
        <v>31.316784344651754</v>
      </c>
    </row>
    <row r="66" spans="1:20" x14ac:dyDescent="0.35">
      <c r="A66" s="2">
        <v>22</v>
      </c>
      <c r="B66" s="1" t="s">
        <v>130</v>
      </c>
      <c r="C66" s="1">
        <v>2023</v>
      </c>
      <c r="D66" s="32">
        <v>82399950000000</v>
      </c>
      <c r="E66" s="32">
        <v>13942042000000</v>
      </c>
      <c r="F66" s="32">
        <f t="shared" si="0"/>
        <v>96341992000000</v>
      </c>
      <c r="G66" s="32">
        <v>40970800000000</v>
      </c>
      <c r="H66" s="8">
        <f t="shared" si="1"/>
        <v>2.351479395081375</v>
      </c>
      <c r="I66" s="26">
        <v>0.83333000000000002</v>
      </c>
      <c r="J66" s="2">
        <v>3</v>
      </c>
      <c r="K66" s="32">
        <v>2328025000000</v>
      </c>
      <c r="L66" s="32">
        <v>40970800000000</v>
      </c>
      <c r="M66" s="32">
        <v>13942042000000</v>
      </c>
      <c r="N66" s="32">
        <v>40970800000000</v>
      </c>
      <c r="O66" s="26">
        <f t="shared" si="5"/>
        <v>0.39711372489675578</v>
      </c>
      <c r="P66" s="32">
        <v>13942000000000</v>
      </c>
      <c r="Q66" s="32">
        <v>27028758000000</v>
      </c>
      <c r="R66" s="8">
        <f t="shared" si="3"/>
        <v>0.51582096373055686</v>
      </c>
      <c r="S66" s="32">
        <v>40970800000000</v>
      </c>
      <c r="T66" s="8">
        <f t="shared" si="4"/>
        <v>31.343880733779482</v>
      </c>
    </row>
    <row r="67" spans="1:20" x14ac:dyDescent="0.35">
      <c r="A67" s="3">
        <v>22</v>
      </c>
      <c r="B67" s="4" t="s">
        <v>130</v>
      </c>
      <c r="C67" s="4">
        <v>2024</v>
      </c>
      <c r="D67" s="33">
        <v>78054480000000</v>
      </c>
      <c r="E67" s="33">
        <v>12502078000000</v>
      </c>
      <c r="F67" s="33">
        <f t="shared" si="0"/>
        <v>90556558000000</v>
      </c>
      <c r="G67" s="33">
        <v>42791000000000</v>
      </c>
      <c r="H67" s="9">
        <f t="shared" si="1"/>
        <v>2.1162524362599613</v>
      </c>
      <c r="I67" s="27">
        <v>0.77778000000000003</v>
      </c>
      <c r="J67" s="3">
        <v>4</v>
      </c>
      <c r="K67" s="33">
        <v>4446488000000</v>
      </c>
      <c r="L67" s="33">
        <v>42791000000000</v>
      </c>
      <c r="M67" s="33">
        <v>12502078000000</v>
      </c>
      <c r="N67" s="33">
        <v>42791000000000</v>
      </c>
      <c r="O67" s="27">
        <f t="shared" si="5"/>
        <v>0.39607782010235798</v>
      </c>
      <c r="P67" s="33">
        <v>12502078000000</v>
      </c>
      <c r="Q67" s="33">
        <v>30288922000000</v>
      </c>
      <c r="R67" s="9">
        <f t="shared" si="3"/>
        <v>0.41276074467093943</v>
      </c>
      <c r="S67" s="33">
        <v>42791000000000</v>
      </c>
      <c r="T67" s="9">
        <f t="shared" ref="T67:T85" si="6">LN(S67)</f>
        <v>31.387348916030451</v>
      </c>
    </row>
    <row r="68" spans="1:20" x14ac:dyDescent="0.35">
      <c r="A68" s="2">
        <v>23</v>
      </c>
      <c r="B68" s="1" t="s">
        <v>131</v>
      </c>
      <c r="C68" s="1">
        <v>2022</v>
      </c>
      <c r="D68" s="32">
        <v>15185914885295</v>
      </c>
      <c r="E68" s="32">
        <v>19036110000000</v>
      </c>
      <c r="F68" s="32">
        <f t="shared" si="0"/>
        <v>34222024885295</v>
      </c>
      <c r="G68" s="32">
        <v>32690887000000</v>
      </c>
      <c r="H68" s="8">
        <f t="shared" si="1"/>
        <v>1.0468368412669562</v>
      </c>
      <c r="I68" s="26">
        <v>0.77778000000000003</v>
      </c>
      <c r="J68" s="2">
        <v>3</v>
      </c>
      <c r="K68" s="32">
        <v>1811082000000</v>
      </c>
      <c r="L68" s="32">
        <v>32690887000000</v>
      </c>
      <c r="M68" s="32">
        <v>19036110000000</v>
      </c>
      <c r="N68" s="32">
        <v>32690887000000</v>
      </c>
      <c r="O68" s="26">
        <f t="shared" si="5"/>
        <v>0.63770652659256388</v>
      </c>
      <c r="P68" s="32">
        <v>19036110000000</v>
      </c>
      <c r="Q68" s="32">
        <v>9623670000000</v>
      </c>
      <c r="R68" s="8">
        <f t="shared" si="3"/>
        <v>1.9780509930203343</v>
      </c>
      <c r="S68" s="32">
        <v>32690887000000</v>
      </c>
      <c r="T68" s="8">
        <f t="shared" si="6"/>
        <v>31.118117469976582</v>
      </c>
    </row>
    <row r="69" spans="1:20" x14ac:dyDescent="0.35">
      <c r="A69" s="2">
        <v>23</v>
      </c>
      <c r="B69" s="1" t="s">
        <v>131</v>
      </c>
      <c r="C69" s="1">
        <v>2023</v>
      </c>
      <c r="D69" s="32">
        <v>13837358737180</v>
      </c>
      <c r="E69" s="32">
        <v>19942219000000</v>
      </c>
      <c r="F69" s="32">
        <f t="shared" si="0"/>
        <v>33779577737180</v>
      </c>
      <c r="G69" s="32">
        <v>34109431000000</v>
      </c>
      <c r="H69" s="8">
        <f t="shared" si="1"/>
        <v>0.99032955833182912</v>
      </c>
      <c r="I69" s="26">
        <v>0.83333000000000002</v>
      </c>
      <c r="J69" s="2">
        <v>3</v>
      </c>
      <c r="K69" s="32">
        <v>1502603000000</v>
      </c>
      <c r="L69" s="32">
        <v>34109431000000</v>
      </c>
      <c r="M69" s="32">
        <v>19942219000000</v>
      </c>
      <c r="N69" s="32">
        <v>34109431000000</v>
      </c>
      <c r="O69" s="26">
        <f t="shared" si="5"/>
        <v>0.62870652987439168</v>
      </c>
      <c r="P69" s="32">
        <v>19942219000000</v>
      </c>
      <c r="Q69" s="32">
        <v>14167212000000</v>
      </c>
      <c r="R69" s="8">
        <f t="shared" si="3"/>
        <v>1.4076318615123427</v>
      </c>
      <c r="S69" s="32">
        <v>34109431000000</v>
      </c>
      <c r="T69" s="8">
        <f t="shared" si="6"/>
        <v>31.160595030894843</v>
      </c>
    </row>
    <row r="70" spans="1:20" x14ac:dyDescent="0.35">
      <c r="A70" s="3">
        <v>23</v>
      </c>
      <c r="B70" s="4" t="s">
        <v>131</v>
      </c>
      <c r="C70" s="4">
        <v>2024</v>
      </c>
      <c r="D70" s="33">
        <v>22749555889940</v>
      </c>
      <c r="E70" s="33">
        <v>18093761000000</v>
      </c>
      <c r="F70" s="33">
        <f t="shared" ref="F70:F85" si="7">D70+E70</f>
        <v>40843316889940</v>
      </c>
      <c r="G70" s="33">
        <v>34666283000000</v>
      </c>
      <c r="H70" s="9">
        <f t="shared" ref="H70:H82" si="8">F70/G70</f>
        <v>1.178185641937441</v>
      </c>
      <c r="I70" s="27">
        <v>0.83333000000000002</v>
      </c>
      <c r="J70" s="3">
        <v>3</v>
      </c>
      <c r="K70" s="33">
        <v>1353714000000</v>
      </c>
      <c r="L70" s="33">
        <v>34666283000000</v>
      </c>
      <c r="M70" s="33">
        <v>18093761000000</v>
      </c>
      <c r="N70" s="33">
        <v>34666283000000</v>
      </c>
      <c r="O70" s="27">
        <f t="shared" si="5"/>
        <v>0.56099106442995339</v>
      </c>
      <c r="P70" s="33">
        <v>18093761000000</v>
      </c>
      <c r="Q70" s="33">
        <v>16572522000000</v>
      </c>
      <c r="R70" s="9">
        <f t="shared" ref="R70:R130" si="9">P70/Q70</f>
        <v>1.0917928484270529</v>
      </c>
      <c r="S70" s="33">
        <v>34666283000000</v>
      </c>
      <c r="T70" s="9">
        <f t="shared" si="6"/>
        <v>31.176788659032876</v>
      </c>
    </row>
    <row r="71" spans="1:20" x14ac:dyDescent="0.35">
      <c r="A71" s="2">
        <v>24</v>
      </c>
      <c r="B71" s="1" t="s">
        <v>132</v>
      </c>
      <c r="C71" s="1">
        <v>2022</v>
      </c>
      <c r="D71" s="32">
        <v>1555931250000</v>
      </c>
      <c r="E71" s="32">
        <v>3352507765000</v>
      </c>
      <c r="F71" s="32">
        <f t="shared" si="7"/>
        <v>4908439015000</v>
      </c>
      <c r="G71" s="32">
        <v>5746998087000</v>
      </c>
      <c r="H71" s="8">
        <f t="shared" si="8"/>
        <v>0.8540874628274433</v>
      </c>
      <c r="I71" s="26">
        <v>0.77778000000000003</v>
      </c>
      <c r="J71" s="2">
        <v>3</v>
      </c>
      <c r="K71" s="32">
        <v>477398404000</v>
      </c>
      <c r="L71" s="32">
        <v>5746998087000</v>
      </c>
      <c r="M71" s="32">
        <v>3352507765000</v>
      </c>
      <c r="N71" s="32">
        <v>5746998087000</v>
      </c>
      <c r="O71" s="26">
        <f t="shared" si="5"/>
        <v>0.6664185564396552</v>
      </c>
      <c r="P71" s="32">
        <v>3352507765000</v>
      </c>
      <c r="Q71" s="32">
        <v>2075138470000</v>
      </c>
      <c r="R71" s="8">
        <f t="shared" si="9"/>
        <v>1.615558582459319</v>
      </c>
      <c r="S71" s="32">
        <v>5746998087000</v>
      </c>
      <c r="T71" s="8">
        <f t="shared" si="6"/>
        <v>29.379698762584773</v>
      </c>
    </row>
    <row r="72" spans="1:20" x14ac:dyDescent="0.35">
      <c r="A72" s="2">
        <v>24</v>
      </c>
      <c r="B72" s="1" t="s">
        <v>132</v>
      </c>
      <c r="C72" s="1">
        <v>2023</v>
      </c>
      <c r="D72" s="32">
        <v>1152956250000</v>
      </c>
      <c r="E72" s="32">
        <v>3021300745000</v>
      </c>
      <c r="F72" s="32">
        <f t="shared" si="7"/>
        <v>4174256995000</v>
      </c>
      <c r="G72" s="32">
        <v>5517296880000</v>
      </c>
      <c r="H72" s="8">
        <f t="shared" si="8"/>
        <v>0.75657646956275448</v>
      </c>
      <c r="I72" s="26">
        <v>0.77778000000000003</v>
      </c>
      <c r="J72" s="2">
        <v>3</v>
      </c>
      <c r="K72" s="32">
        <v>287546923000</v>
      </c>
      <c r="L72" s="32">
        <v>5517296880000</v>
      </c>
      <c r="M72" s="32">
        <v>3021300745000</v>
      </c>
      <c r="N72" s="32">
        <v>5517296880000</v>
      </c>
      <c r="O72" s="26">
        <f t="shared" si="5"/>
        <v>0.59972260691543577</v>
      </c>
      <c r="P72" s="32">
        <v>3021300745000</v>
      </c>
      <c r="Q72" s="32">
        <v>2140281849000</v>
      </c>
      <c r="R72" s="8">
        <f t="shared" si="9"/>
        <v>1.41163685820708</v>
      </c>
      <c r="S72" s="32">
        <v>5517296880000</v>
      </c>
      <c r="T72" s="8">
        <f>LN(S72)</f>
        <v>29.338909160625306</v>
      </c>
    </row>
    <row r="73" spans="1:20" x14ac:dyDescent="0.35">
      <c r="A73" s="3">
        <v>24</v>
      </c>
      <c r="B73" s="4" t="s">
        <v>132</v>
      </c>
      <c r="C73" s="4">
        <v>2024</v>
      </c>
      <c r="D73" s="33">
        <v>1712643750000</v>
      </c>
      <c r="E73" s="33">
        <v>2159250951000</v>
      </c>
      <c r="F73" s="33">
        <f t="shared" si="7"/>
        <v>3871894701000</v>
      </c>
      <c r="G73" s="33">
        <v>5380045840000</v>
      </c>
      <c r="H73" s="9">
        <f t="shared" si="8"/>
        <v>0.7196768979574345</v>
      </c>
      <c r="I73" s="27">
        <v>0.77778000000000003</v>
      </c>
      <c r="J73" s="3">
        <v>3</v>
      </c>
      <c r="K73" s="33">
        <v>329175691000</v>
      </c>
      <c r="L73" s="33">
        <v>5380045840000</v>
      </c>
      <c r="M73" s="33">
        <v>2159250951000</v>
      </c>
      <c r="N73" s="33">
        <v>5380045840000</v>
      </c>
      <c r="O73" s="27">
        <f t="shared" si="5"/>
        <v>0.4625288921330083</v>
      </c>
      <c r="P73" s="33">
        <v>2159250951000</v>
      </c>
      <c r="Q73" s="33">
        <v>2632302826000</v>
      </c>
      <c r="R73" s="9">
        <f t="shared" si="9"/>
        <v>0.82028972110369192</v>
      </c>
      <c r="S73" s="33">
        <v>5380045840000</v>
      </c>
      <c r="T73" s="9">
        <f t="shared" si="6"/>
        <v>29.313718010512041</v>
      </c>
    </row>
    <row r="74" spans="1:20" x14ac:dyDescent="0.35">
      <c r="A74" s="40">
        <v>25</v>
      </c>
      <c r="B74" s="1" t="s">
        <v>133</v>
      </c>
      <c r="C74" s="1">
        <v>2022</v>
      </c>
      <c r="D74" s="32">
        <v>1487096000000</v>
      </c>
      <c r="E74" s="32">
        <v>604327481288</v>
      </c>
      <c r="F74" s="32">
        <f t="shared" si="7"/>
        <v>2091423481288</v>
      </c>
      <c r="G74" s="32">
        <v>1746807361866</v>
      </c>
      <c r="H74" s="8">
        <f t="shared" si="8"/>
        <v>1.1972834136981592</v>
      </c>
      <c r="I74" s="26">
        <v>0.61111000000000004</v>
      </c>
      <c r="J74" s="2">
        <v>3</v>
      </c>
      <c r="K74" s="32">
        <v>11870768964</v>
      </c>
      <c r="L74" s="32">
        <v>1746807361866</v>
      </c>
      <c r="M74" s="32">
        <v>604327481288</v>
      </c>
      <c r="N74" s="32">
        <v>1746807361866</v>
      </c>
      <c r="O74" s="26">
        <f t="shared" si="5"/>
        <v>0.35275684297194382</v>
      </c>
      <c r="P74" s="32">
        <v>604327481288</v>
      </c>
      <c r="Q74" s="32">
        <v>1142479880578</v>
      </c>
      <c r="R74" s="8">
        <f t="shared" si="9"/>
        <v>0.52896115858273185</v>
      </c>
      <c r="S74" s="32">
        <v>1746807361866</v>
      </c>
      <c r="T74" s="8">
        <f t="shared" si="6"/>
        <v>28.188810873035997</v>
      </c>
    </row>
    <row r="75" spans="1:20" x14ac:dyDescent="0.35">
      <c r="A75" s="2">
        <v>25</v>
      </c>
      <c r="B75" s="1" t="s">
        <v>133</v>
      </c>
      <c r="C75" s="1">
        <v>2023</v>
      </c>
      <c r="D75" s="32">
        <v>1440036000000</v>
      </c>
      <c r="E75" s="32">
        <v>673472985858</v>
      </c>
      <c r="F75" s="32">
        <f t="shared" si="7"/>
        <v>2113508985858</v>
      </c>
      <c r="G75" s="32">
        <v>1894388459807</v>
      </c>
      <c r="H75" s="8">
        <f t="shared" si="8"/>
        <v>1.1156682120378436</v>
      </c>
      <c r="I75" s="26">
        <v>0.66666999999999998</v>
      </c>
      <c r="J75" s="2">
        <v>3</v>
      </c>
      <c r="K75" s="32">
        <v>1471104359</v>
      </c>
      <c r="L75" s="32">
        <v>1894388459807</v>
      </c>
      <c r="M75" s="32">
        <v>673472985858</v>
      </c>
      <c r="N75" s="32">
        <v>1894388459807</v>
      </c>
      <c r="O75" s="26">
        <f t="shared" si="5"/>
        <v>0.35628600180860642</v>
      </c>
      <c r="P75" s="32">
        <v>673472985858</v>
      </c>
      <c r="Q75" s="32">
        <v>1220916373949</v>
      </c>
      <c r="R75" s="8">
        <f t="shared" si="9"/>
        <v>0.55161270683894703</v>
      </c>
      <c r="S75" s="32">
        <v>1894388459807</v>
      </c>
      <c r="T75" s="8">
        <f t="shared" si="6"/>
        <v>28.269917189877152</v>
      </c>
    </row>
    <row r="76" spans="1:20" x14ac:dyDescent="0.35">
      <c r="A76" s="3">
        <v>25</v>
      </c>
      <c r="B76" s="4" t="s">
        <v>133</v>
      </c>
      <c r="C76" s="4">
        <v>2024</v>
      </c>
      <c r="D76" s="33">
        <v>1920048000000</v>
      </c>
      <c r="E76" s="33">
        <v>447462972579</v>
      </c>
      <c r="F76" s="33">
        <f t="shared" si="7"/>
        <v>2367510972579</v>
      </c>
      <c r="G76" s="33">
        <v>1753404635182</v>
      </c>
      <c r="H76" s="9">
        <f t="shared" si="8"/>
        <v>1.3502365198967647</v>
      </c>
      <c r="I76" s="27">
        <v>0.77778000000000003</v>
      </c>
      <c r="J76" s="3">
        <v>3</v>
      </c>
      <c r="K76" s="33">
        <v>7045841232</v>
      </c>
      <c r="L76" s="33">
        <v>1753404635182</v>
      </c>
      <c r="M76" s="33">
        <v>447462972579</v>
      </c>
      <c r="N76" s="33">
        <v>1753404635182</v>
      </c>
      <c r="O76" s="27">
        <f t="shared" si="5"/>
        <v>0.25921501785229561</v>
      </c>
      <c r="P76" s="33">
        <v>447462972579</v>
      </c>
      <c r="Q76" s="33">
        <v>1305941662603</v>
      </c>
      <c r="R76" s="9">
        <f t="shared" si="9"/>
        <v>0.34263626423183235</v>
      </c>
      <c r="S76" s="33">
        <v>1753404635182</v>
      </c>
      <c r="T76" s="9">
        <f t="shared" si="6"/>
        <v>28.192580519636813</v>
      </c>
    </row>
    <row r="77" spans="1:20" x14ac:dyDescent="0.35">
      <c r="A77" s="2">
        <v>26</v>
      </c>
      <c r="B77" s="1" t="s">
        <v>134</v>
      </c>
      <c r="C77" s="1">
        <v>2022</v>
      </c>
      <c r="D77" s="32">
        <v>47734326160225</v>
      </c>
      <c r="E77" s="32">
        <f>15731*4035517000</f>
        <v>63482717927000</v>
      </c>
      <c r="F77" s="32">
        <f t="shared" si="7"/>
        <v>111217044087225</v>
      </c>
      <c r="G77" s="32">
        <f>15731*9640721000</f>
        <v>151658182051000</v>
      </c>
      <c r="H77" s="8">
        <f t="shared" si="8"/>
        <v>0.73334021668428451</v>
      </c>
      <c r="I77" s="26">
        <v>0.72221999999999997</v>
      </c>
      <c r="J77" s="2">
        <v>3</v>
      </c>
      <c r="K77" s="32">
        <f>15731*1262386000</f>
        <v>19858594166000</v>
      </c>
      <c r="L77" s="32">
        <v>151658182051000</v>
      </c>
      <c r="M77" s="32">
        <v>63482717927000</v>
      </c>
      <c r="N77" s="32">
        <v>151658182051000</v>
      </c>
      <c r="O77" s="26">
        <f t="shared" si="5"/>
        <v>0.5495338989687597</v>
      </c>
      <c r="P77" s="32">
        <v>63482717927000</v>
      </c>
      <c r="Q77" s="32">
        <f>15731*5605204000</f>
        <v>88175464124000</v>
      </c>
      <c r="R77" s="8">
        <f t="shared" si="9"/>
        <v>0.71995898811176184</v>
      </c>
      <c r="S77" s="32">
        <v>131658182051000</v>
      </c>
      <c r="T77" s="8">
        <f t="shared" si="6"/>
        <v>32.511230149966217</v>
      </c>
    </row>
    <row r="78" spans="1:20" x14ac:dyDescent="0.35">
      <c r="A78" s="2">
        <v>26</v>
      </c>
      <c r="B78" s="1" t="s">
        <v>134</v>
      </c>
      <c r="C78" s="1">
        <v>2023</v>
      </c>
      <c r="D78" s="32">
        <v>45545932983825</v>
      </c>
      <c r="E78" s="32">
        <f>15416*4125086000</f>
        <v>63592325776000</v>
      </c>
      <c r="F78" s="32">
        <f t="shared" si="7"/>
        <v>109138258759825</v>
      </c>
      <c r="G78" s="32">
        <f>15416*10125138000</f>
        <v>156089127408000</v>
      </c>
      <c r="H78" s="8">
        <f t="shared" si="8"/>
        <v>0.69920474649428632</v>
      </c>
      <c r="I78" s="26">
        <v>0.77778000000000003</v>
      </c>
      <c r="J78" s="2">
        <v>3</v>
      </c>
      <c r="K78" s="32">
        <f>15416*1397299000</f>
        <v>21540761384000</v>
      </c>
      <c r="L78" s="32">
        <v>156089127408000</v>
      </c>
      <c r="M78" s="32">
        <v>63592325776000</v>
      </c>
      <c r="N78" s="32">
        <v>156089127408000</v>
      </c>
      <c r="O78" s="26">
        <f t="shared" si="5"/>
        <v>0.54541330695937185</v>
      </c>
      <c r="P78" s="32">
        <v>63592325776000</v>
      </c>
      <c r="Q78" s="32">
        <f>15416*6000052000</f>
        <v>92496801632000</v>
      </c>
      <c r="R78" s="8">
        <f t="shared" si="9"/>
        <v>0.68750837492741734</v>
      </c>
      <c r="S78" s="32">
        <v>156089127408000</v>
      </c>
      <c r="T78" s="8">
        <f t="shared" si="6"/>
        <v>32.681448289569964</v>
      </c>
    </row>
    <row r="79" spans="1:20" x14ac:dyDescent="0.35">
      <c r="A79" s="3">
        <v>26</v>
      </c>
      <c r="B79" s="4" t="s">
        <v>134</v>
      </c>
      <c r="C79" s="4">
        <v>2024</v>
      </c>
      <c r="D79" s="33">
        <v>37202683998800</v>
      </c>
      <c r="E79" s="33">
        <f>16162*5368843000</f>
        <v>86771240566000</v>
      </c>
      <c r="F79" s="33">
        <f t="shared" si="7"/>
        <v>123973924564800</v>
      </c>
      <c r="G79" s="33">
        <f>16162*11777052000</f>
        <v>190340714424000</v>
      </c>
      <c r="H79" s="9">
        <f t="shared" si="8"/>
        <v>0.6513263593654357</v>
      </c>
      <c r="I79" s="27">
        <v>0.77778000000000003</v>
      </c>
      <c r="J79" s="3">
        <v>3</v>
      </c>
      <c r="K79" s="33">
        <f>16162*1765863000</f>
        <v>28539877806000</v>
      </c>
      <c r="L79" s="33">
        <v>190340714424000</v>
      </c>
      <c r="M79" s="33">
        <v>86771240566000</v>
      </c>
      <c r="N79" s="33">
        <v>190340714424000</v>
      </c>
      <c r="O79" s="27">
        <f t="shared" si="5"/>
        <v>0.60581425640304554</v>
      </c>
      <c r="P79" s="33">
        <v>86771240566000</v>
      </c>
      <c r="Q79" s="33">
        <f>16162*6408209000</f>
        <v>103569473858000</v>
      </c>
      <c r="R79" s="9">
        <f t="shared" si="9"/>
        <v>0.83780710023658711</v>
      </c>
      <c r="S79" s="33">
        <v>190340714424000</v>
      </c>
      <c r="T79" s="9">
        <f t="shared" si="6"/>
        <v>32.879836815975388</v>
      </c>
    </row>
    <row r="80" spans="1:20" x14ac:dyDescent="0.35">
      <c r="A80" s="2">
        <v>27</v>
      </c>
      <c r="B80" s="1" t="s">
        <v>135</v>
      </c>
      <c r="C80" s="1">
        <v>2022</v>
      </c>
      <c r="D80" s="32">
        <v>1267945070832</v>
      </c>
      <c r="E80" s="32">
        <v>1092943225203</v>
      </c>
      <c r="F80" s="32">
        <f t="shared" si="7"/>
        <v>2360888296035</v>
      </c>
      <c r="G80" s="32">
        <v>3239231499990</v>
      </c>
      <c r="H80" s="8">
        <f t="shared" si="8"/>
        <v>0.72884210222155732</v>
      </c>
      <c r="I80" s="26">
        <v>0.61111000000000004</v>
      </c>
      <c r="J80" s="2">
        <v>3</v>
      </c>
      <c r="K80" s="32">
        <v>300142973515</v>
      </c>
      <c r="L80" s="32">
        <v>3239231499990</v>
      </c>
      <c r="M80" s="32">
        <v>1092943225203</v>
      </c>
      <c r="N80" s="32">
        <v>3239231499990</v>
      </c>
      <c r="O80" s="26">
        <f t="shared" si="5"/>
        <v>0.43006688429718609</v>
      </c>
      <c r="P80" s="32">
        <v>1092943225203</v>
      </c>
      <c r="Q80" s="32">
        <v>2146288274787</v>
      </c>
      <c r="R80" s="8">
        <f t="shared" si="9"/>
        <v>0.50922480360261246</v>
      </c>
      <c r="S80" s="32">
        <v>3239231499990</v>
      </c>
      <c r="T80" s="8">
        <f t="shared" si="6"/>
        <v>28.806357226237356</v>
      </c>
    </row>
    <row r="81" spans="1:20" x14ac:dyDescent="0.35">
      <c r="A81" s="2">
        <v>27</v>
      </c>
      <c r="B81" s="1" t="s">
        <v>135</v>
      </c>
      <c r="C81" s="1">
        <v>2023</v>
      </c>
      <c r="D81" s="32">
        <v>1097624091168</v>
      </c>
      <c r="E81" s="32">
        <v>984503543994</v>
      </c>
      <c r="F81" s="32">
        <f t="shared" si="7"/>
        <v>2082127635162</v>
      </c>
      <c r="G81" s="32">
        <v>3303922519911</v>
      </c>
      <c r="H81" s="8">
        <f t="shared" si="8"/>
        <v>0.63019868735241635</v>
      </c>
      <c r="I81" s="26">
        <v>0.55556000000000005</v>
      </c>
      <c r="J81" s="2">
        <v>3</v>
      </c>
      <c r="K81" s="32">
        <v>311955972514</v>
      </c>
      <c r="L81" s="32">
        <v>3303922519911</v>
      </c>
      <c r="M81" s="32">
        <v>984503543994</v>
      </c>
      <c r="N81" s="32">
        <v>3303922519911</v>
      </c>
      <c r="O81" s="26">
        <f t="shared" si="5"/>
        <v>0.39240009676223386</v>
      </c>
      <c r="P81" s="32">
        <v>984503543994</v>
      </c>
      <c r="Q81" s="32">
        <v>2319418975917</v>
      </c>
      <c r="R81" s="8">
        <f t="shared" si="9"/>
        <v>0.4244612785427303</v>
      </c>
      <c r="S81" s="32">
        <v>3303922519911</v>
      </c>
      <c r="T81" s="8">
        <f t="shared" si="6"/>
        <v>28.826131520922182</v>
      </c>
    </row>
    <row r="82" spans="1:20" x14ac:dyDescent="0.35">
      <c r="A82" s="3">
        <v>27</v>
      </c>
      <c r="B82" s="4" t="s">
        <v>135</v>
      </c>
      <c r="C82" s="4">
        <v>2024</v>
      </c>
      <c r="D82" s="33">
        <v>933611295936</v>
      </c>
      <c r="E82" s="33">
        <v>1008005049539</v>
      </c>
      <c r="F82" s="33">
        <f t="shared" si="7"/>
        <v>1941616345475</v>
      </c>
      <c r="G82" s="33">
        <v>3392686914315</v>
      </c>
      <c r="H82" s="9">
        <f t="shared" si="8"/>
        <v>0.57229458376562925</v>
      </c>
      <c r="I82" s="27">
        <v>0.72221999999999997</v>
      </c>
      <c r="J82" s="3">
        <v>3</v>
      </c>
      <c r="K82" s="33">
        <v>277714629913</v>
      </c>
      <c r="L82" s="33">
        <v>3392686914315</v>
      </c>
      <c r="M82" s="33">
        <v>1008005049539</v>
      </c>
      <c r="N82" s="33">
        <v>3392686914315</v>
      </c>
      <c r="O82" s="27">
        <f t="shared" si="5"/>
        <v>0.37896797197144055</v>
      </c>
      <c r="P82" s="33">
        <v>1008005049539</v>
      </c>
      <c r="Q82" s="33">
        <v>2384681864776</v>
      </c>
      <c r="R82" s="9">
        <f t="shared" si="9"/>
        <v>0.42270001060862045</v>
      </c>
      <c r="S82" s="33">
        <v>3392686914315</v>
      </c>
      <c r="T82" s="9">
        <f t="shared" si="6"/>
        <v>28.85264332347225</v>
      </c>
    </row>
    <row r="83" spans="1:20" x14ac:dyDescent="0.35">
      <c r="A83" s="2">
        <v>28</v>
      </c>
      <c r="B83" s="1" t="s">
        <v>137</v>
      </c>
      <c r="C83" s="1">
        <v>2022</v>
      </c>
      <c r="D83" s="32">
        <v>21948226168500</v>
      </c>
      <c r="E83" s="32">
        <f>15731*1326532000</f>
        <v>20867674892000</v>
      </c>
      <c r="F83" s="32">
        <f t="shared" si="7"/>
        <v>42815901060500</v>
      </c>
      <c r="G83" s="32">
        <f>15731*3545180000</f>
        <v>55769226580000</v>
      </c>
      <c r="H83" s="31">
        <f>F83/G83</f>
        <v>0.76773345599622622</v>
      </c>
      <c r="I83" s="26">
        <v>0.72221999999999997</v>
      </c>
      <c r="J83" s="2">
        <v>3</v>
      </c>
      <c r="K83" s="32">
        <f>15731*204896000</f>
        <v>3223218976000</v>
      </c>
      <c r="L83" s="32">
        <v>55769226580000</v>
      </c>
      <c r="M83" s="32">
        <v>20867674892000</v>
      </c>
      <c r="N83" s="32">
        <v>55769226580000</v>
      </c>
      <c r="O83" s="43">
        <f>(K83/L83)+(M83/N83)</f>
        <v>0.43197468111633258</v>
      </c>
      <c r="P83" s="32">
        <v>20867674892000</v>
      </c>
      <c r="Q83" s="32">
        <f>15731*2218648000</f>
        <v>34901551688000</v>
      </c>
      <c r="R83" s="8">
        <f t="shared" si="9"/>
        <v>0.59790106407145249</v>
      </c>
      <c r="S83" s="32">
        <v>55769226580000</v>
      </c>
      <c r="T83" s="8">
        <f t="shared" si="6"/>
        <v>31.652243338204443</v>
      </c>
    </row>
    <row r="84" spans="1:20" x14ac:dyDescent="0.35">
      <c r="A84" s="2">
        <v>28</v>
      </c>
      <c r="B84" s="1" t="s">
        <v>137</v>
      </c>
      <c r="C84" s="1">
        <v>2023</v>
      </c>
      <c r="D84" s="32">
        <v>22726532061000</v>
      </c>
      <c r="E84" s="32">
        <f>15416*1224350000</f>
        <v>18874579600000</v>
      </c>
      <c r="F84" s="32">
        <f t="shared" si="7"/>
        <v>41601111661000</v>
      </c>
      <c r="G84" s="32">
        <f>15416*3609918000</f>
        <v>55650495888000</v>
      </c>
      <c r="H84" s="8">
        <f t="shared" ref="H84:H85" si="10">F84/G84</f>
        <v>0.74754251506985236</v>
      </c>
      <c r="I84" s="26">
        <v>0.77778000000000003</v>
      </c>
      <c r="J84" s="2">
        <v>3</v>
      </c>
      <c r="K84" s="32">
        <f>15416*176923000</f>
        <v>2727444968000</v>
      </c>
      <c r="L84" s="32">
        <v>55650495888000</v>
      </c>
      <c r="M84" s="32">
        <v>18874579600000</v>
      </c>
      <c r="N84" s="32">
        <v>55650495888000</v>
      </c>
      <c r="O84" s="26">
        <f>(K84/L84)+(M84/N84)</f>
        <v>0.38817308315590549</v>
      </c>
      <c r="P84" s="32">
        <v>18874579600000</v>
      </c>
      <c r="Q84" s="32">
        <f>15416*2385568000</f>
        <v>36775916288000</v>
      </c>
      <c r="R84" s="8">
        <f t="shared" si="9"/>
        <v>0.51323206884062833</v>
      </c>
      <c r="S84" s="32">
        <v>55650495888000</v>
      </c>
      <c r="T84" s="8">
        <f t="shared" si="6"/>
        <v>31.650112104445981</v>
      </c>
    </row>
    <row r="85" spans="1:20" x14ac:dyDescent="0.35">
      <c r="A85" s="3">
        <v>28</v>
      </c>
      <c r="B85" s="4" t="s">
        <v>137</v>
      </c>
      <c r="C85" s="4">
        <v>2024</v>
      </c>
      <c r="D85" s="33">
        <v>18601510830750</v>
      </c>
      <c r="E85" s="33">
        <f>16162*1177341000</f>
        <v>19028185242000</v>
      </c>
      <c r="F85" s="33">
        <f t="shared" si="7"/>
        <v>37629696072750</v>
      </c>
      <c r="G85" s="33">
        <f>16162*3856131000</f>
        <v>62322789222000</v>
      </c>
      <c r="H85" s="9">
        <f t="shared" si="10"/>
        <v>0.60378709846745249</v>
      </c>
      <c r="I85" s="27">
        <v>0.77778000000000003</v>
      </c>
      <c r="J85" s="3">
        <v>3</v>
      </c>
      <c r="K85" s="33">
        <f>16162*185076000</f>
        <v>2991198312000</v>
      </c>
      <c r="L85" s="33">
        <v>62322789222000</v>
      </c>
      <c r="M85" s="33">
        <v>19028185242000</v>
      </c>
      <c r="N85" s="33">
        <v>62322789222000</v>
      </c>
      <c r="O85" s="27">
        <f>(K85/L85)+(M85/N85)</f>
        <v>0.35331190771267884</v>
      </c>
      <c r="P85" s="33">
        <v>19028185242000</v>
      </c>
      <c r="Q85" s="33">
        <f>16162*2678790000</f>
        <v>43294603980000</v>
      </c>
      <c r="R85" s="9">
        <f t="shared" si="9"/>
        <v>0.43950477641024494</v>
      </c>
      <c r="S85" s="33">
        <v>62322789222000</v>
      </c>
      <c r="T85" s="9">
        <f t="shared" si="6"/>
        <v>31.763348272940078</v>
      </c>
    </row>
    <row r="86" spans="1:20" x14ac:dyDescent="0.35">
      <c r="A86" s="2">
        <v>29</v>
      </c>
      <c r="B86" s="1" t="s">
        <v>78</v>
      </c>
      <c r="C86" s="1">
        <v>2022</v>
      </c>
      <c r="D86" s="32">
        <v>230756244783104</v>
      </c>
      <c r="E86" s="32">
        <v>169557000000000</v>
      </c>
      <c r="F86" s="32">
        <f>D86+E86</f>
        <v>400313244783104</v>
      </c>
      <c r="G86" s="32">
        <v>413297000000000</v>
      </c>
      <c r="H86" s="8">
        <f>E86/F86</f>
        <v>0.42356080446918176</v>
      </c>
      <c r="I86" s="26">
        <v>0.83333000000000002</v>
      </c>
      <c r="J86" s="2">
        <v>2</v>
      </c>
      <c r="K86" s="32">
        <v>61295000000000</v>
      </c>
      <c r="L86" s="32">
        <v>413297000000000</v>
      </c>
      <c r="M86" s="32">
        <v>169557000000000</v>
      </c>
      <c r="N86" s="32">
        <v>413297000000000</v>
      </c>
      <c r="O86" s="26">
        <f>(K86/L86)+(M86/N86)</f>
        <v>0.55856200262765032</v>
      </c>
      <c r="P86" s="32">
        <v>169557000000000</v>
      </c>
      <c r="Q86" s="32">
        <v>243720000000000</v>
      </c>
      <c r="R86" s="8">
        <f t="shared" si="9"/>
        <v>0.69570408665681926</v>
      </c>
      <c r="S86" s="32">
        <v>413297000000000</v>
      </c>
      <c r="T86" s="8">
        <f>LN(S86)</f>
        <v>33.655187578769997</v>
      </c>
    </row>
    <row r="87" spans="1:20" x14ac:dyDescent="0.35">
      <c r="A87" s="2">
        <v>29</v>
      </c>
      <c r="B87" s="1" t="s">
        <v>78</v>
      </c>
      <c r="C87" s="1">
        <v>2023</v>
      </c>
      <c r="D87" s="32">
        <v>228732075000000</v>
      </c>
      <c r="E87" s="32">
        <v>194981000000000</v>
      </c>
      <c r="F87" s="32">
        <f t="shared" ref="F87:F130" si="11">D87+E87</f>
        <v>423713075000000</v>
      </c>
      <c r="G87" s="32">
        <v>445405000000000</v>
      </c>
      <c r="H87" s="8">
        <f t="shared" ref="H87:H88" si="12">E87/F87</f>
        <v>0.46017225217796265</v>
      </c>
      <c r="I87" s="26">
        <v>0.83333000000000002</v>
      </c>
      <c r="J87" s="2">
        <v>3</v>
      </c>
      <c r="K87" s="32">
        <v>41136000000000</v>
      </c>
      <c r="L87" s="32">
        <v>445405000000000</v>
      </c>
      <c r="M87" s="32">
        <v>194981000000000</v>
      </c>
      <c r="N87" s="32">
        <v>445405000000000</v>
      </c>
      <c r="O87" s="26">
        <f t="shared" ref="O87:O121" si="13">(K87/L87)+(M87/N87)</f>
        <v>0.53011753348076474</v>
      </c>
      <c r="P87" s="32">
        <v>194981000000000</v>
      </c>
      <c r="Q87" s="32">
        <v>250424000000000</v>
      </c>
      <c r="R87" s="8">
        <f t="shared" si="9"/>
        <v>0.77860348848353189</v>
      </c>
      <c r="S87" s="32">
        <v>194981000000000</v>
      </c>
      <c r="T87" s="8">
        <f t="shared" ref="T87:T130" si="14">LN(S87)</f>
        <v>32.903923233847671</v>
      </c>
    </row>
    <row r="88" spans="1:20" x14ac:dyDescent="0.35">
      <c r="A88" s="3">
        <v>29</v>
      </c>
      <c r="B88" s="4" t="s">
        <v>78</v>
      </c>
      <c r="C88" s="4">
        <v>2024</v>
      </c>
      <c r="D88" s="33">
        <v>198371600000000</v>
      </c>
      <c r="E88" s="33">
        <v>201429000000000</v>
      </c>
      <c r="F88" s="33">
        <f t="shared" si="11"/>
        <v>399800600000000</v>
      </c>
      <c r="G88" s="33">
        <v>472925000000000</v>
      </c>
      <c r="H88" s="9">
        <f t="shared" si="12"/>
        <v>0.50382365609256219</v>
      </c>
      <c r="I88" s="27">
        <v>0.83333000000000002</v>
      </c>
      <c r="J88" s="3">
        <v>3</v>
      </c>
      <c r="K88" s="33">
        <v>46439000000000</v>
      </c>
      <c r="L88" s="33">
        <v>472925000000000</v>
      </c>
      <c r="M88" s="33">
        <v>201429000000000</v>
      </c>
      <c r="N88" s="33">
        <v>472925000000000</v>
      </c>
      <c r="O88" s="27">
        <f t="shared" si="13"/>
        <v>0.52411693186023156</v>
      </c>
      <c r="P88" s="33">
        <v>201429000000000</v>
      </c>
      <c r="Q88" s="33">
        <v>271496000000000</v>
      </c>
      <c r="R88" s="9">
        <f t="shared" si="9"/>
        <v>0.74192253292866195</v>
      </c>
      <c r="S88" s="33">
        <v>201429000000000</v>
      </c>
      <c r="T88" s="9">
        <f t="shared" si="14"/>
        <v>32.936458077902763</v>
      </c>
    </row>
    <row r="89" spans="1:20" x14ac:dyDescent="0.35">
      <c r="A89" s="2">
        <v>30</v>
      </c>
      <c r="B89" s="1" t="s">
        <v>79</v>
      </c>
      <c r="C89" s="1">
        <v>2022</v>
      </c>
      <c r="D89" s="32">
        <v>7036810180000</v>
      </c>
      <c r="E89" s="32">
        <v>5469696000000</v>
      </c>
      <c r="F89" s="32">
        <f t="shared" si="11"/>
        <v>12506506180000</v>
      </c>
      <c r="G89" s="32">
        <v>18521161000000</v>
      </c>
      <c r="H89" s="8">
        <f>F89/G89</f>
        <v>0.6752549788860428</v>
      </c>
      <c r="I89" s="26">
        <v>0.66666999999999998</v>
      </c>
      <c r="J89" s="2">
        <v>3</v>
      </c>
      <c r="K89" s="32">
        <v>2073909000000</v>
      </c>
      <c r="L89" s="32">
        <v>18521161000000</v>
      </c>
      <c r="M89" s="32">
        <v>5469696000000</v>
      </c>
      <c r="N89" s="32">
        <v>18521161000000</v>
      </c>
      <c r="O89" s="26">
        <f t="shared" si="13"/>
        <v>0.40729655122591935</v>
      </c>
      <c r="P89" s="32">
        <v>5469696000000</v>
      </c>
      <c r="Q89" s="32">
        <v>13051565000000</v>
      </c>
      <c r="R89" s="8">
        <f t="shared" si="9"/>
        <v>0.41908353519290598</v>
      </c>
      <c r="S89" s="32">
        <v>18521161000000</v>
      </c>
      <c r="T89" s="8">
        <f t="shared" si="14"/>
        <v>30.549935032166591</v>
      </c>
    </row>
    <row r="90" spans="1:20" x14ac:dyDescent="0.35">
      <c r="A90" s="2">
        <v>30</v>
      </c>
      <c r="B90" s="1" t="s">
        <v>79</v>
      </c>
      <c r="C90" s="1">
        <v>2023</v>
      </c>
      <c r="D90" s="32">
        <v>11374569880000</v>
      </c>
      <c r="E90" s="32">
        <v>5073319000000</v>
      </c>
      <c r="F90" s="32">
        <f t="shared" si="11"/>
        <v>16447888880000</v>
      </c>
      <c r="G90" s="32">
        <v>19613043000000</v>
      </c>
      <c r="H90" s="8">
        <f t="shared" ref="H90:H163" si="15">F90/G90</f>
        <v>0.8386199367431153</v>
      </c>
      <c r="I90" s="26">
        <v>0.72221999999999997</v>
      </c>
      <c r="J90" s="2">
        <v>3</v>
      </c>
      <c r="K90" s="32">
        <v>2743360000000</v>
      </c>
      <c r="L90" s="32">
        <v>19612043000000</v>
      </c>
      <c r="M90" s="32">
        <v>5073319000000</v>
      </c>
      <c r="N90" s="32">
        <v>19612043000000</v>
      </c>
      <c r="O90" s="26">
        <f t="shared" si="13"/>
        <v>0.39856525911145513</v>
      </c>
      <c r="P90" s="32">
        <v>5073319000000</v>
      </c>
      <c r="Q90" s="32">
        <v>14539724000000</v>
      </c>
      <c r="R90" s="8">
        <f t="shared" si="9"/>
        <v>0.34892815021798212</v>
      </c>
      <c r="S90" s="32">
        <v>19612043000000</v>
      </c>
      <c r="T90" s="8">
        <f t="shared" si="14"/>
        <v>30.607164932250313</v>
      </c>
    </row>
    <row r="91" spans="1:20" x14ac:dyDescent="0.35">
      <c r="A91" s="3">
        <v>30</v>
      </c>
      <c r="B91" s="4" t="s">
        <v>79</v>
      </c>
      <c r="C91" s="4">
        <v>2024</v>
      </c>
      <c r="D91" s="33">
        <v>11085385900000</v>
      </c>
      <c r="E91" s="33">
        <v>5441894000000</v>
      </c>
      <c r="F91" s="33">
        <f t="shared" si="11"/>
        <v>16527279900000</v>
      </c>
      <c r="G91" s="33">
        <v>21030018000000</v>
      </c>
      <c r="H91" s="9">
        <f t="shared" si="15"/>
        <v>0.78588995501573033</v>
      </c>
      <c r="I91" s="27">
        <v>0.77778000000000003</v>
      </c>
      <c r="J91" s="3">
        <v>3</v>
      </c>
      <c r="K91" s="33">
        <v>3613091000000</v>
      </c>
      <c r="L91" s="33">
        <v>21030018000000</v>
      </c>
      <c r="M91" s="33">
        <v>5441894000000</v>
      </c>
      <c r="N91" s="33">
        <v>21030018000000</v>
      </c>
      <c r="O91" s="27">
        <f t="shared" si="13"/>
        <v>0.43057428671720588</v>
      </c>
      <c r="P91" s="33">
        <v>5441894000000</v>
      </c>
      <c r="Q91" s="33">
        <v>15588124000000</v>
      </c>
      <c r="R91" s="9">
        <f t="shared" si="9"/>
        <v>0.34910512644112918</v>
      </c>
      <c r="S91" s="33">
        <v>21030018000000</v>
      </c>
      <c r="T91" s="9">
        <f t="shared" si="14"/>
        <v>30.676971961562906</v>
      </c>
    </row>
    <row r="92" spans="1:20" x14ac:dyDescent="0.35">
      <c r="A92" s="2">
        <v>31</v>
      </c>
      <c r="B92" s="1" t="s">
        <v>80</v>
      </c>
      <c r="C92" s="1">
        <v>2022</v>
      </c>
      <c r="D92" s="32">
        <v>1746093750000</v>
      </c>
      <c r="E92" s="32">
        <v>556535398855</v>
      </c>
      <c r="F92" s="32">
        <f t="shared" si="11"/>
        <v>2302629148855</v>
      </c>
      <c r="G92" s="32">
        <v>1405279687983</v>
      </c>
      <c r="H92" s="8">
        <f t="shared" si="15"/>
        <v>1.6385557754413764</v>
      </c>
      <c r="I92" s="26">
        <v>0.55556000000000005</v>
      </c>
      <c r="J92" s="2">
        <v>3</v>
      </c>
      <c r="K92" s="32">
        <v>31460705440</v>
      </c>
      <c r="L92" s="32">
        <v>1405279687983</v>
      </c>
      <c r="M92" s="32">
        <v>556535398855</v>
      </c>
      <c r="N92" s="32">
        <v>1405279687983</v>
      </c>
      <c r="O92" s="43">
        <f t="shared" si="13"/>
        <v>0.41841927220833292</v>
      </c>
      <c r="P92" s="32">
        <v>556535398855</v>
      </c>
      <c r="Q92" s="32">
        <v>848744289128</v>
      </c>
      <c r="R92" s="31">
        <f t="shared" si="9"/>
        <v>0.65571622216955894</v>
      </c>
      <c r="S92" s="32">
        <v>1405279687983</v>
      </c>
      <c r="T92" s="8">
        <f t="shared" si="14"/>
        <v>27.971257465083287</v>
      </c>
    </row>
    <row r="93" spans="1:20" x14ac:dyDescent="0.35">
      <c r="A93" s="2">
        <v>31</v>
      </c>
      <c r="B93" s="1" t="s">
        <v>80</v>
      </c>
      <c r="C93" s="1">
        <v>2023</v>
      </c>
      <c r="D93" s="32">
        <v>1722656250000</v>
      </c>
      <c r="E93" s="32">
        <v>472283939973</v>
      </c>
      <c r="F93" s="32">
        <f t="shared" si="11"/>
        <v>2194940189973</v>
      </c>
      <c r="G93" s="32">
        <v>1343976949259</v>
      </c>
      <c r="H93" s="8">
        <f t="shared" si="15"/>
        <v>1.6331680325195885</v>
      </c>
      <c r="I93" s="26">
        <v>0.61111000000000004</v>
      </c>
      <c r="J93" s="2">
        <v>3</v>
      </c>
      <c r="K93" s="32">
        <v>36132276175</v>
      </c>
      <c r="L93" s="32">
        <v>1343976949259</v>
      </c>
      <c r="M93" s="32">
        <v>472283939973</v>
      </c>
      <c r="N93" s="32">
        <v>1343976949259</v>
      </c>
      <c r="O93" s="26">
        <f t="shared" si="13"/>
        <v>0.37829236314530146</v>
      </c>
      <c r="P93" s="32">
        <v>472283939973</v>
      </c>
      <c r="Q93" s="32">
        <v>871693009286</v>
      </c>
      <c r="R93" s="8">
        <f t="shared" si="9"/>
        <v>0.5418007657992413</v>
      </c>
      <c r="S93" s="32">
        <v>1343976949259</v>
      </c>
      <c r="T93" s="8">
        <f t="shared" si="14"/>
        <v>27.926654207033469</v>
      </c>
    </row>
    <row r="94" spans="1:20" ht="16" customHeight="1" x14ac:dyDescent="0.35">
      <c r="A94" s="3">
        <v>31</v>
      </c>
      <c r="B94" s="4" t="s">
        <v>80</v>
      </c>
      <c r="C94" s="4">
        <v>2024</v>
      </c>
      <c r="D94" s="33">
        <v>3046875000000</v>
      </c>
      <c r="E94" s="33">
        <v>516176933443</v>
      </c>
      <c r="F94" s="33">
        <f t="shared" si="11"/>
        <v>3563051933443</v>
      </c>
      <c r="G94" s="33">
        <v>1404114374772</v>
      </c>
      <c r="H94" s="9">
        <f t="shared" si="15"/>
        <v>2.5375795572362603</v>
      </c>
      <c r="I94" s="27">
        <v>0.55556000000000005</v>
      </c>
      <c r="J94" s="3">
        <v>3</v>
      </c>
      <c r="K94" s="33">
        <v>113161529168</v>
      </c>
      <c r="L94" s="33">
        <v>1404114374772</v>
      </c>
      <c r="M94" s="33">
        <v>516176933443</v>
      </c>
      <c r="N94" s="33">
        <v>1404114374772</v>
      </c>
      <c r="O94" s="27">
        <f t="shared" si="13"/>
        <v>0.44821025545956106</v>
      </c>
      <c r="P94" s="33">
        <v>516176933443</v>
      </c>
      <c r="Q94" s="33">
        <v>887937441329</v>
      </c>
      <c r="R94" s="9">
        <f t="shared" si="9"/>
        <v>0.58132128393012017</v>
      </c>
      <c r="S94" s="33">
        <v>1404114374772</v>
      </c>
      <c r="T94" s="9">
        <f t="shared" si="14"/>
        <v>27.970427881727016</v>
      </c>
    </row>
    <row r="95" spans="1:20" ht="16" customHeight="1" x14ac:dyDescent="0.35">
      <c r="A95" s="2">
        <v>32</v>
      </c>
      <c r="B95" s="1" t="s">
        <v>170</v>
      </c>
      <c r="C95" s="42">
        <v>2022</v>
      </c>
      <c r="D95" s="32">
        <v>3723750000000</v>
      </c>
      <c r="E95" s="32">
        <f>15652*68418098</f>
        <v>1070880069896</v>
      </c>
      <c r="F95" s="34">
        <f t="shared" si="11"/>
        <v>4794630069896</v>
      </c>
      <c r="G95" s="32">
        <f>15652*290896966</f>
        <v>4553119311832</v>
      </c>
      <c r="H95" s="8">
        <f t="shared" si="15"/>
        <v>1.0530429232189009</v>
      </c>
      <c r="I95" s="26">
        <v>0.66666999999999998</v>
      </c>
      <c r="J95" s="2">
        <v>2</v>
      </c>
      <c r="K95" s="32">
        <f>15652*13209582</f>
        <v>206756377464</v>
      </c>
      <c r="L95" s="32">
        <v>4553119311832</v>
      </c>
      <c r="M95" s="32">
        <v>1070880069896</v>
      </c>
      <c r="N95" s="32">
        <v>4553119311832</v>
      </c>
      <c r="O95" s="26">
        <f t="shared" si="13"/>
        <v>0.28060684551794191</v>
      </c>
      <c r="P95" s="32">
        <v>1070880069896</v>
      </c>
      <c r="Q95" s="32">
        <f>15652*222478868</f>
        <v>3482239241936</v>
      </c>
      <c r="R95" s="8">
        <f t="shared" si="9"/>
        <v>0.30752627705746866</v>
      </c>
      <c r="S95" s="32">
        <v>4553119311832</v>
      </c>
      <c r="T95" s="8">
        <f t="shared" si="14"/>
        <v>29.146833677040416</v>
      </c>
    </row>
    <row r="96" spans="1:20" ht="16" customHeight="1" x14ac:dyDescent="0.35">
      <c r="A96" s="2">
        <v>32</v>
      </c>
      <c r="B96" s="1" t="s">
        <v>170</v>
      </c>
      <c r="C96" s="1">
        <v>2023</v>
      </c>
      <c r="D96" s="32">
        <v>2700341880000</v>
      </c>
      <c r="E96" s="32">
        <f>15416*72841131</f>
        <v>1122918875496</v>
      </c>
      <c r="F96" s="32">
        <f t="shared" si="11"/>
        <v>3823260755496</v>
      </c>
      <c r="G96" s="32">
        <f>15416*298865582</f>
        <v>4607311812112</v>
      </c>
      <c r="H96" s="8">
        <f t="shared" si="15"/>
        <v>0.82982461604729341</v>
      </c>
      <c r="I96" s="26">
        <v>0.72221999999999997</v>
      </c>
      <c r="J96" s="2">
        <v>3</v>
      </c>
      <c r="K96" s="32">
        <f>15416*32920500</f>
        <v>507502428000</v>
      </c>
      <c r="L96" s="32">
        <v>4607311812112</v>
      </c>
      <c r="M96" s="32">
        <v>1122918875496</v>
      </c>
      <c r="N96" s="32">
        <v>4607311812112</v>
      </c>
      <c r="O96" s="26">
        <f t="shared" si="13"/>
        <v>0.35387691781785702</v>
      </c>
      <c r="P96" s="32">
        <v>1122918875496</v>
      </c>
      <c r="Q96" s="32">
        <f>15416*226024451</f>
        <v>3484392936616</v>
      </c>
      <c r="R96" s="8">
        <f t="shared" si="9"/>
        <v>0.32227102279301634</v>
      </c>
      <c r="S96" s="32">
        <v>4607311812112</v>
      </c>
      <c r="T96" s="8">
        <f t="shared" si="14"/>
        <v>29.158665681839004</v>
      </c>
    </row>
    <row r="97" spans="1:20" ht="16" customHeight="1" x14ac:dyDescent="0.35">
      <c r="A97" s="3">
        <v>32</v>
      </c>
      <c r="B97" s="4" t="s">
        <v>170</v>
      </c>
      <c r="C97" s="4">
        <v>2024</v>
      </c>
      <c r="D97" s="33">
        <v>2610330484000</v>
      </c>
      <c r="E97" s="33">
        <f>16667*66727705</f>
        <v>1112150659235</v>
      </c>
      <c r="F97" s="33">
        <f t="shared" si="11"/>
        <v>3722481143235</v>
      </c>
      <c r="G97" s="33">
        <f>16667*292744260</f>
        <v>4879168581420</v>
      </c>
      <c r="H97" s="9">
        <f t="shared" si="15"/>
        <v>0.76293349596697768</v>
      </c>
      <c r="I97" s="27">
        <v>0.72221999999999997</v>
      </c>
      <c r="J97" s="3">
        <v>3</v>
      </c>
      <c r="K97" s="33">
        <f>16667*33361727</f>
        <v>556039903909</v>
      </c>
      <c r="L97" s="33">
        <v>4879168581778</v>
      </c>
      <c r="M97" s="33">
        <v>1112150659235</v>
      </c>
      <c r="N97" s="33">
        <v>4879168581778</v>
      </c>
      <c r="O97" s="27">
        <f t="shared" si="13"/>
        <v>0.34190057899907628</v>
      </c>
      <c r="P97" s="33">
        <v>1112150659235</v>
      </c>
      <c r="Q97" s="33">
        <f>16667*226016555</f>
        <v>3767017922185</v>
      </c>
      <c r="R97" s="9">
        <f t="shared" si="9"/>
        <v>0.29523370533631926</v>
      </c>
      <c r="S97" s="33">
        <v>4879168581778</v>
      </c>
      <c r="T97" s="9">
        <f t="shared" si="14"/>
        <v>29.215995948692072</v>
      </c>
    </row>
    <row r="98" spans="1:20" x14ac:dyDescent="0.35">
      <c r="A98" s="2">
        <v>33</v>
      </c>
      <c r="B98" s="1" t="s">
        <v>81</v>
      </c>
      <c r="C98" s="1">
        <v>2022</v>
      </c>
      <c r="D98" s="32">
        <v>2752941145500</v>
      </c>
      <c r="E98" s="32">
        <v>1280807259321</v>
      </c>
      <c r="F98" s="32">
        <f t="shared" si="11"/>
        <v>4033748404821</v>
      </c>
      <c r="G98" s="32">
        <v>2682993618242</v>
      </c>
      <c r="H98" s="8">
        <f t="shared" si="15"/>
        <v>1.5034506147890379</v>
      </c>
      <c r="I98" s="26">
        <v>0.44440000000000002</v>
      </c>
      <c r="J98" s="2">
        <v>2</v>
      </c>
      <c r="K98" s="32">
        <v>195135716984</v>
      </c>
      <c r="L98" s="32">
        <v>2682993618242</v>
      </c>
      <c r="M98" s="32">
        <v>1280807259321</v>
      </c>
      <c r="N98" s="32">
        <v>2682993618242</v>
      </c>
      <c r="O98" s="26">
        <f t="shared" si="13"/>
        <v>0.55011050576858778</v>
      </c>
      <c r="P98" s="32">
        <v>1280807259321</v>
      </c>
      <c r="Q98" s="32">
        <v>1146715393890</v>
      </c>
      <c r="R98" s="8">
        <f t="shared" si="9"/>
        <v>1.1169356111773476</v>
      </c>
      <c r="S98" s="32">
        <v>2682993618242</v>
      </c>
      <c r="T98" s="8">
        <f t="shared" si="14"/>
        <v>28.617954308778824</v>
      </c>
    </row>
    <row r="99" spans="1:20" x14ac:dyDescent="0.35">
      <c r="A99" s="2">
        <v>33</v>
      </c>
      <c r="B99" s="1" t="s">
        <v>81</v>
      </c>
      <c r="C99" s="1">
        <v>2023</v>
      </c>
      <c r="D99" s="32">
        <v>6682352866000</v>
      </c>
      <c r="E99" s="32">
        <v>1355214229299</v>
      </c>
      <c r="F99" s="32">
        <f t="shared" si="11"/>
        <v>8037567095299</v>
      </c>
      <c r="G99" s="32">
        <v>3385541561778</v>
      </c>
      <c r="H99" s="8">
        <f t="shared" si="15"/>
        <v>2.3740860800650974</v>
      </c>
      <c r="I99" s="26">
        <v>0.5</v>
      </c>
      <c r="J99" s="2">
        <v>3</v>
      </c>
      <c r="K99" s="32">
        <v>378549982434</v>
      </c>
      <c r="L99" s="32">
        <v>3385541561778</v>
      </c>
      <c r="M99" s="32">
        <v>1355214229299</v>
      </c>
      <c r="N99" s="32">
        <v>3385541561778</v>
      </c>
      <c r="O99" s="26">
        <f t="shared" si="13"/>
        <v>0.51210838209957499</v>
      </c>
      <c r="P99" s="32">
        <v>1355214229299</v>
      </c>
      <c r="Q99" s="32">
        <v>1386054859150</v>
      </c>
      <c r="R99" s="8">
        <f t="shared" si="9"/>
        <v>0.97774934401231917</v>
      </c>
      <c r="S99" s="32">
        <v>3385541561778</v>
      </c>
      <c r="T99" s="8">
        <f t="shared" si="14"/>
        <v>28.850534998204378</v>
      </c>
    </row>
    <row r="100" spans="1:20" x14ac:dyDescent="0.35">
      <c r="A100" s="3">
        <v>33</v>
      </c>
      <c r="B100" s="4" t="s">
        <v>81</v>
      </c>
      <c r="C100" s="4">
        <v>2024</v>
      </c>
      <c r="D100" s="33">
        <v>4329411716000</v>
      </c>
      <c r="E100" s="33">
        <v>1373353780595</v>
      </c>
      <c r="F100" s="33">
        <f t="shared" si="11"/>
        <v>5702765496595</v>
      </c>
      <c r="G100" s="33">
        <v>3841488703178</v>
      </c>
      <c r="H100" s="9">
        <f t="shared" si="15"/>
        <v>1.4845196581932407</v>
      </c>
      <c r="I100" s="27">
        <v>0.5</v>
      </c>
      <c r="J100" s="3">
        <v>3</v>
      </c>
      <c r="K100" s="33">
        <v>401760683051</v>
      </c>
      <c r="L100" s="33">
        <v>3841488703178</v>
      </c>
      <c r="M100" s="33">
        <v>1373353780595</v>
      </c>
      <c r="N100" s="33">
        <v>3841488703178</v>
      </c>
      <c r="O100" s="27">
        <f t="shared" si="13"/>
        <v>0.46209024698614298</v>
      </c>
      <c r="P100" s="33">
        <v>1373353780595</v>
      </c>
      <c r="Q100" s="33">
        <v>1616577859654</v>
      </c>
      <c r="R100" s="9">
        <f t="shared" si="9"/>
        <v>0.84954385116281517</v>
      </c>
      <c r="S100" s="33">
        <v>3841488703178</v>
      </c>
      <c r="T100" s="9">
        <f t="shared" si="14"/>
        <v>28.976881090517772</v>
      </c>
    </row>
    <row r="101" spans="1:20" x14ac:dyDescent="0.35">
      <c r="A101" s="2">
        <v>34</v>
      </c>
      <c r="B101" s="1" t="s">
        <v>82</v>
      </c>
      <c r="C101" s="1">
        <v>2022</v>
      </c>
      <c r="D101" s="32">
        <v>1951488000000</v>
      </c>
      <c r="E101" s="32">
        <v>11790337000000</v>
      </c>
      <c r="F101" s="32">
        <f t="shared" si="11"/>
        <v>13741825000000</v>
      </c>
      <c r="G101" s="32">
        <v>19016012000000</v>
      </c>
      <c r="H101" s="8">
        <f t="shared" si="15"/>
        <v>0.72264494784710909</v>
      </c>
      <c r="I101" s="26">
        <v>0.66666999999999998</v>
      </c>
      <c r="J101" s="2">
        <v>3</v>
      </c>
      <c r="K101" s="32">
        <v>885516000000</v>
      </c>
      <c r="L101" s="32">
        <v>19016012000000</v>
      </c>
      <c r="M101" s="32">
        <v>11790337000000</v>
      </c>
      <c r="N101" s="32">
        <v>19016012000000</v>
      </c>
      <c r="O101" s="26">
        <f t="shared" si="13"/>
        <v>0.66658839929213343</v>
      </c>
      <c r="P101" s="32">
        <v>11790337000000</v>
      </c>
      <c r="Q101" s="32">
        <v>7225675000000</v>
      </c>
      <c r="R101" s="8">
        <f t="shared" si="9"/>
        <v>1.6317281084466158</v>
      </c>
      <c r="S101" s="32">
        <v>19016012000000</v>
      </c>
      <c r="T101" s="8">
        <f t="shared" si="14"/>
        <v>30.576302477033781</v>
      </c>
    </row>
    <row r="102" spans="1:20" x14ac:dyDescent="0.35">
      <c r="A102" s="2">
        <v>34</v>
      </c>
      <c r="B102" s="1" t="s">
        <v>82</v>
      </c>
      <c r="C102" s="1">
        <v>2023</v>
      </c>
      <c r="D102" s="32">
        <v>3606768000000</v>
      </c>
      <c r="E102" s="32">
        <v>10623835000000</v>
      </c>
      <c r="F102" s="32">
        <f t="shared" si="11"/>
        <v>14230603000000</v>
      </c>
      <c r="G102" s="32">
        <v>18975738000000</v>
      </c>
      <c r="H102" s="8">
        <f t="shared" si="15"/>
        <v>0.74993673500340274</v>
      </c>
      <c r="I102" s="26">
        <v>0.72221999999999997</v>
      </c>
      <c r="J102" s="2">
        <v>3</v>
      </c>
      <c r="K102" s="32">
        <v>690655000000</v>
      </c>
      <c r="L102" s="32">
        <v>18975738000000</v>
      </c>
      <c r="M102" s="32">
        <v>10623835000000</v>
      </c>
      <c r="N102" s="32">
        <v>18975738000000</v>
      </c>
      <c r="O102" s="26">
        <f t="shared" si="13"/>
        <v>0.59626086742976736</v>
      </c>
      <c r="P102" s="32">
        <v>10623835000000</v>
      </c>
      <c r="Q102" s="32">
        <v>8351903000000</v>
      </c>
      <c r="R102" s="8">
        <f t="shared" si="9"/>
        <v>1.2720256688804934</v>
      </c>
      <c r="S102" s="32">
        <v>18975738000000</v>
      </c>
      <c r="T102" s="8">
        <f t="shared" si="14"/>
        <v>30.574182331734551</v>
      </c>
    </row>
    <row r="103" spans="1:20" x14ac:dyDescent="0.35">
      <c r="A103" s="3">
        <v>34</v>
      </c>
      <c r="B103" s="4" t="s">
        <v>82</v>
      </c>
      <c r="C103" s="4">
        <v>2024</v>
      </c>
      <c r="D103" s="33">
        <v>3902976000000</v>
      </c>
      <c r="E103" s="33">
        <v>11107152000000</v>
      </c>
      <c r="F103" s="33">
        <f t="shared" si="11"/>
        <v>15010128000000</v>
      </c>
      <c r="G103" s="33">
        <v>20563695000000</v>
      </c>
      <c r="H103" s="9">
        <f t="shared" si="15"/>
        <v>0.7299334093410742</v>
      </c>
      <c r="I103" s="27">
        <v>0.66666999999999998</v>
      </c>
      <c r="J103" s="3">
        <v>3</v>
      </c>
      <c r="K103" s="33">
        <v>1038379000000</v>
      </c>
      <c r="L103" s="33">
        <v>20563695000000</v>
      </c>
      <c r="M103" s="33">
        <v>11107152000000</v>
      </c>
      <c r="N103" s="33">
        <v>20563695000000</v>
      </c>
      <c r="O103" s="27">
        <f t="shared" si="13"/>
        <v>0.59062979683369166</v>
      </c>
      <c r="P103" s="33">
        <v>11107152000000</v>
      </c>
      <c r="Q103" s="33">
        <v>9456543000000</v>
      </c>
      <c r="R103" s="9">
        <f t="shared" si="9"/>
        <v>1.1745467661914084</v>
      </c>
      <c r="S103" s="33">
        <v>20563695000000</v>
      </c>
      <c r="T103" s="9">
        <f t="shared" si="14"/>
        <v>30.654548258267017</v>
      </c>
    </row>
    <row r="104" spans="1:20" x14ac:dyDescent="0.35">
      <c r="A104" s="2">
        <v>35</v>
      </c>
      <c r="B104" s="1" t="s">
        <v>83</v>
      </c>
      <c r="C104" s="1">
        <v>2022</v>
      </c>
      <c r="D104" s="32">
        <v>1276405685950</v>
      </c>
      <c r="E104" s="32">
        <v>900101128340</v>
      </c>
      <c r="F104" s="32">
        <f t="shared" si="11"/>
        <v>2176506814290</v>
      </c>
      <c r="G104" s="32">
        <v>3882465049707</v>
      </c>
      <c r="H104" s="8">
        <f>F104/G104</f>
        <v>0.56059920345046133</v>
      </c>
      <c r="I104" s="26">
        <v>0.61111000000000004</v>
      </c>
      <c r="J104" s="2">
        <v>2</v>
      </c>
      <c r="K104" s="32">
        <v>102493991519</v>
      </c>
      <c r="L104" s="32">
        <v>3882465049707</v>
      </c>
      <c r="M104" s="32">
        <v>900101128340</v>
      </c>
      <c r="N104" s="32">
        <v>3882465049707</v>
      </c>
      <c r="O104" s="43">
        <f t="shared" si="13"/>
        <v>0.25823674058177637</v>
      </c>
      <c r="P104" s="32">
        <v>900101128340</v>
      </c>
      <c r="Q104" s="32">
        <v>2982354921367</v>
      </c>
      <c r="R104" s="8">
        <f t="shared" si="9"/>
        <v>0.30180885644805389</v>
      </c>
      <c r="S104" s="32">
        <v>3882465049707</v>
      </c>
      <c r="T104" s="8">
        <f t="shared" si="14"/>
        <v>28.987491389921523</v>
      </c>
    </row>
    <row r="105" spans="1:20" x14ac:dyDescent="0.35">
      <c r="A105" s="2">
        <v>35</v>
      </c>
      <c r="B105" s="1" t="s">
        <v>83</v>
      </c>
      <c r="C105" s="1">
        <v>2023</v>
      </c>
      <c r="D105" s="32">
        <v>1634061777900</v>
      </c>
      <c r="E105" s="32">
        <v>968594117624</v>
      </c>
      <c r="F105" s="32">
        <f t="shared" si="11"/>
        <v>2602655895524</v>
      </c>
      <c r="G105" s="32">
        <v>4459381724679</v>
      </c>
      <c r="H105" s="8">
        <f t="shared" si="15"/>
        <v>0.58363604109521416</v>
      </c>
      <c r="I105" s="26">
        <v>0.77778000000000003</v>
      </c>
      <c r="J105" s="2">
        <v>3</v>
      </c>
      <c r="K105" s="32">
        <v>66907139491</v>
      </c>
      <c r="L105" s="32">
        <v>4459381724679</v>
      </c>
      <c r="M105" s="32">
        <v>968594117624</v>
      </c>
      <c r="N105" s="32">
        <v>4459381724679</v>
      </c>
      <c r="O105" s="26">
        <f t="shared" si="13"/>
        <v>0.23220735990918978</v>
      </c>
      <c r="P105" s="32">
        <v>868594117624</v>
      </c>
      <c r="Q105" s="32">
        <v>3490787607055</v>
      </c>
      <c r="R105" s="8">
        <f t="shared" si="9"/>
        <v>0.24882468239217473</v>
      </c>
      <c r="S105" s="32">
        <v>4459381724679</v>
      </c>
      <c r="T105" s="8">
        <f t="shared" si="14"/>
        <v>29.126031245597357</v>
      </c>
    </row>
    <row r="106" spans="1:20" x14ac:dyDescent="0.35">
      <c r="A106" s="3">
        <v>35</v>
      </c>
      <c r="B106" s="4" t="s">
        <v>83</v>
      </c>
      <c r="C106" s="4">
        <v>2024</v>
      </c>
      <c r="D106" s="33">
        <v>1601249292400</v>
      </c>
      <c r="E106" s="33">
        <v>739038995061</v>
      </c>
      <c r="F106" s="33">
        <f t="shared" si="11"/>
        <v>2340288287461</v>
      </c>
      <c r="G106" s="33">
        <v>4255811894871</v>
      </c>
      <c r="H106" s="9">
        <f t="shared" si="15"/>
        <v>0.54990407124935625</v>
      </c>
      <c r="I106" s="27">
        <v>0.66666999999999998</v>
      </c>
      <c r="J106" s="3">
        <v>3</v>
      </c>
      <c r="K106" s="33">
        <v>79786500598</v>
      </c>
      <c r="L106" s="33">
        <v>4255811894871</v>
      </c>
      <c r="M106" s="33">
        <v>739038995061</v>
      </c>
      <c r="N106" s="33">
        <v>4255811894871</v>
      </c>
      <c r="O106" s="27">
        <f t="shared" si="13"/>
        <v>0.19240171226689515</v>
      </c>
      <c r="P106" s="33">
        <v>739038995061</v>
      </c>
      <c r="Q106" s="33">
        <v>3516772899810</v>
      </c>
      <c r="R106" s="8">
        <f t="shared" si="9"/>
        <v>0.21014692051935679</v>
      </c>
      <c r="S106" s="33">
        <v>4255811894871</v>
      </c>
      <c r="T106" s="9">
        <f t="shared" si="14"/>
        <v>29.079306669357454</v>
      </c>
    </row>
    <row r="107" spans="1:20" x14ac:dyDescent="0.35">
      <c r="A107" s="2">
        <v>36</v>
      </c>
      <c r="B107" s="1" t="s">
        <v>171</v>
      </c>
      <c r="C107" s="1">
        <v>2022</v>
      </c>
      <c r="D107" s="32">
        <v>19467847523400</v>
      </c>
      <c r="E107" s="32">
        <f>15686*138101162</f>
        <v>2166254827132</v>
      </c>
      <c r="F107" s="32">
        <f t="shared" si="11"/>
        <v>21634102350532</v>
      </c>
      <c r="G107" s="32">
        <f>15686*462933465</f>
        <v>7261574331990</v>
      </c>
      <c r="H107" s="8">
        <f>F107/G107</f>
        <v>2.9792578525603659</v>
      </c>
      <c r="I107" s="26">
        <v>0.61111000000000004</v>
      </c>
      <c r="J107" s="2">
        <v>3</v>
      </c>
      <c r="K107" s="32">
        <f>15686*2261408</f>
        <v>35472445888</v>
      </c>
      <c r="L107" s="32">
        <v>7261574331990</v>
      </c>
      <c r="M107" s="32">
        <v>2166254827132</v>
      </c>
      <c r="N107" s="32">
        <v>7261574331990</v>
      </c>
      <c r="O107" s="26">
        <f t="shared" si="13"/>
        <v>0.30320246992729294</v>
      </c>
      <c r="P107" s="32">
        <v>2166254827132</v>
      </c>
      <c r="Q107" s="32">
        <f>15686*324832303</f>
        <v>5095319504858</v>
      </c>
      <c r="R107" s="8">
        <f t="shared" si="9"/>
        <v>0.42514602373151295</v>
      </c>
      <c r="S107" s="32">
        <v>7261574331990</v>
      </c>
      <c r="T107" s="8">
        <f t="shared" si="14"/>
        <v>29.613617771393024</v>
      </c>
    </row>
    <row r="108" spans="1:20" x14ac:dyDescent="0.35">
      <c r="A108" s="2">
        <v>36</v>
      </c>
      <c r="B108" s="1" t="s">
        <v>171</v>
      </c>
      <c r="C108" s="1">
        <v>2023</v>
      </c>
      <c r="D108" s="32">
        <v>34987230000000</v>
      </c>
      <c r="E108" s="32">
        <f>15433*142556456</f>
        <v>2200073785448</v>
      </c>
      <c r="F108" s="32">
        <f t="shared" si="11"/>
        <v>37187303785448</v>
      </c>
      <c r="G108" s="32">
        <f>15433*523557484</f>
        <v>8080062650572</v>
      </c>
      <c r="H108" s="8">
        <f>F108/G108</f>
        <v>4.6023533967048458</v>
      </c>
      <c r="I108" s="26">
        <v>0.61111000000000004</v>
      </c>
      <c r="J108" s="2">
        <v>3</v>
      </c>
      <c r="K108" s="32">
        <f>15433*30173539</f>
        <v>465668227387</v>
      </c>
      <c r="L108" s="32">
        <v>8080062650572</v>
      </c>
      <c r="M108" s="32">
        <v>2200073785448</v>
      </c>
      <c r="N108" s="32">
        <v>8080063650572</v>
      </c>
      <c r="O108" s="26">
        <f t="shared" si="13"/>
        <v>0.32991597414929369</v>
      </c>
      <c r="P108" s="32">
        <v>2200073785448</v>
      </c>
      <c r="Q108" s="32">
        <f>15433*381001028</f>
        <v>5879988865124</v>
      </c>
      <c r="R108" s="8">
        <f t="shared" si="9"/>
        <v>0.37416291695674903</v>
      </c>
      <c r="S108" s="32">
        <v>8080063650572</v>
      </c>
      <c r="T108" s="8">
        <f t="shared" si="14"/>
        <v>29.720420865976564</v>
      </c>
    </row>
    <row r="109" spans="1:20" x14ac:dyDescent="0.35">
      <c r="A109" s="56">
        <v>36</v>
      </c>
      <c r="B109" s="4" t="s">
        <v>171</v>
      </c>
      <c r="C109" s="55">
        <v>2024</v>
      </c>
      <c r="D109" s="33">
        <v>56934271059000</v>
      </c>
      <c r="E109" s="33">
        <f>16158*84526421</f>
        <v>1365777910518</v>
      </c>
      <c r="F109" s="33">
        <f>D109+E109</f>
        <v>58300048969518</v>
      </c>
      <c r="G109" s="33">
        <f>16158*479470542</f>
        <v>7747285017636</v>
      </c>
      <c r="H109" s="9">
        <f>F109/G109</f>
        <v>7.5252232022964387</v>
      </c>
      <c r="I109" s="27">
        <v>0.61111000000000004</v>
      </c>
      <c r="J109" s="3">
        <v>3</v>
      </c>
      <c r="K109" s="33">
        <f>16158*50208316</f>
        <v>811265969928</v>
      </c>
      <c r="L109" s="33">
        <v>7747285017572</v>
      </c>
      <c r="M109" s="33">
        <v>1365777910518</v>
      </c>
      <c r="N109" s="33">
        <v>7747285017572</v>
      </c>
      <c r="O109" s="27">
        <f t="shared" si="13"/>
        <v>0.28100733037549785</v>
      </c>
      <c r="P109" s="33">
        <v>1365777910518</v>
      </c>
      <c r="Q109" s="33">
        <f>16158*394944121</f>
        <v>6381507107118</v>
      </c>
      <c r="R109" s="9">
        <f t="shared" si="9"/>
        <v>0.21402121592791098</v>
      </c>
      <c r="S109" s="33">
        <v>7747285017572</v>
      </c>
      <c r="T109" s="9">
        <f t="shared" si="14"/>
        <v>29.678363577604017</v>
      </c>
    </row>
    <row r="110" spans="1:20" x14ac:dyDescent="0.35">
      <c r="A110" s="2">
        <v>37</v>
      </c>
      <c r="B110" s="1" t="s">
        <v>84</v>
      </c>
      <c r="C110" s="1">
        <v>2022</v>
      </c>
      <c r="D110" s="32">
        <v>587266113409</v>
      </c>
      <c r="E110" s="32">
        <f>15723*26737653</f>
        <v>420396118119</v>
      </c>
      <c r="F110" s="32">
        <f t="shared" si="11"/>
        <v>1007662231528</v>
      </c>
      <c r="G110" s="32">
        <f>15723*172000176</f>
        <v>2704358767248</v>
      </c>
      <c r="H110" s="8">
        <f t="shared" si="15"/>
        <v>0.3726067131815553</v>
      </c>
      <c r="I110" s="26">
        <v>0.66666999999999998</v>
      </c>
      <c r="J110" s="2">
        <v>3</v>
      </c>
      <c r="K110" s="32">
        <f>15723*8539274</f>
        <v>134263005102</v>
      </c>
      <c r="L110" s="32">
        <v>2704358767248</v>
      </c>
      <c r="M110" s="32">
        <v>420396118119</v>
      </c>
      <c r="N110" s="32">
        <v>2704358767248</v>
      </c>
      <c r="O110" s="26">
        <f t="shared" si="13"/>
        <v>0.20509820292276909</v>
      </c>
      <c r="P110" s="32">
        <v>420396118119</v>
      </c>
      <c r="Q110" s="32">
        <f>15723*145262523</f>
        <v>2283962649129</v>
      </c>
      <c r="R110" s="8">
        <f t="shared" si="9"/>
        <v>0.18406435774215488</v>
      </c>
      <c r="S110" s="32">
        <v>2704358767248</v>
      </c>
      <c r="T110" s="8">
        <f t="shared" si="14"/>
        <v>28.625885945503292</v>
      </c>
    </row>
    <row r="111" spans="1:20" x14ac:dyDescent="0.35">
      <c r="A111" s="2">
        <v>37</v>
      </c>
      <c r="B111" s="1" t="s">
        <v>84</v>
      </c>
      <c r="C111" s="1">
        <v>2023</v>
      </c>
      <c r="D111" s="32">
        <v>532817599583</v>
      </c>
      <c r="E111" s="32">
        <f>15408*33716223</f>
        <v>519499563984</v>
      </c>
      <c r="F111" s="32">
        <f t="shared" si="11"/>
        <v>1052317163567</v>
      </c>
      <c r="G111" s="32">
        <f>15408*158715638</f>
        <v>2445490550304</v>
      </c>
      <c r="H111" s="8">
        <f t="shared" si="15"/>
        <v>0.43030923322774073</v>
      </c>
      <c r="I111" s="26">
        <v>0.66666999999999998</v>
      </c>
      <c r="J111" s="2">
        <v>3</v>
      </c>
      <c r="K111" s="32">
        <f>15408*5865322</f>
        <v>90372881376</v>
      </c>
      <c r="L111" s="32">
        <v>2445490550304</v>
      </c>
      <c r="M111" s="32">
        <v>519499563984</v>
      </c>
      <c r="N111" s="32">
        <v>2445490550304</v>
      </c>
      <c r="O111" s="26">
        <f t="shared" si="13"/>
        <v>0.24938654753100006</v>
      </c>
      <c r="P111" s="32">
        <v>519499563084</v>
      </c>
      <c r="Q111" s="32">
        <f>15408*125999415</f>
        <v>1941398986320</v>
      </c>
      <c r="R111" s="8">
        <f t="shared" si="9"/>
        <v>0.26759031334858807</v>
      </c>
      <c r="S111" s="32">
        <v>2445490550304</v>
      </c>
      <c r="T111" s="8">
        <f t="shared" si="14"/>
        <v>28.525266852802226</v>
      </c>
    </row>
    <row r="112" spans="1:20" x14ac:dyDescent="0.35">
      <c r="A112" s="3">
        <v>37</v>
      </c>
      <c r="B112" s="4" t="s">
        <v>84</v>
      </c>
      <c r="C112" s="4">
        <v>2024</v>
      </c>
      <c r="D112" s="33">
        <v>423920571931</v>
      </c>
      <c r="E112" s="33">
        <f>16155*39354285</f>
        <v>635768474175</v>
      </c>
      <c r="F112" s="33">
        <f t="shared" si="11"/>
        <v>1059689046106</v>
      </c>
      <c r="G112" s="33">
        <f>16155*155447698</f>
        <v>2511257561190</v>
      </c>
      <c r="H112" s="9">
        <f t="shared" si="15"/>
        <v>0.42197545265084208</v>
      </c>
      <c r="I112" s="27">
        <v>0.66666999999999998</v>
      </c>
      <c r="J112" s="3">
        <v>3</v>
      </c>
      <c r="K112" s="33">
        <f>16155*7363464</f>
        <v>118956760920</v>
      </c>
      <c r="L112" s="33">
        <v>2511257561190</v>
      </c>
      <c r="M112" s="33">
        <v>635768474175</v>
      </c>
      <c r="N112" s="33">
        <v>2511257561190</v>
      </c>
      <c r="O112" s="27">
        <f t="shared" si="13"/>
        <v>0.30053676960851489</v>
      </c>
      <c r="P112" s="33">
        <v>635768474175</v>
      </c>
      <c r="Q112" s="33">
        <f>16155*116093413</f>
        <v>1875489087015</v>
      </c>
      <c r="R112" s="9">
        <f t="shared" si="9"/>
        <v>0.33898809573287331</v>
      </c>
      <c r="S112" s="33">
        <v>2511257561190</v>
      </c>
      <c r="T112" s="9">
        <f t="shared" si="14"/>
        <v>28.551804763997851</v>
      </c>
    </row>
    <row r="113" spans="1:20" x14ac:dyDescent="0.35">
      <c r="A113" s="2">
        <v>38</v>
      </c>
      <c r="B113" s="1" t="s">
        <v>85</v>
      </c>
      <c r="C113" s="1">
        <v>2022</v>
      </c>
      <c r="D113" s="32">
        <v>3695100000000</v>
      </c>
      <c r="E113" s="32">
        <f>15731*404643537</f>
        <v>6365447480547</v>
      </c>
      <c r="F113" s="32">
        <f t="shared" si="11"/>
        <v>10060547480547</v>
      </c>
      <c r="G113" s="32">
        <f>15731*869800216</f>
        <v>13682827197896</v>
      </c>
      <c r="H113" s="8">
        <f t="shared" si="15"/>
        <v>0.73526818215565892</v>
      </c>
      <c r="I113" s="26">
        <v>0.61111000000000004</v>
      </c>
      <c r="J113" s="2">
        <v>3</v>
      </c>
      <c r="K113" s="32">
        <f>15731*29496749</f>
        <v>464013358519</v>
      </c>
      <c r="L113" s="32">
        <v>13682827197896</v>
      </c>
      <c r="M113" s="32">
        <v>6365447480547</v>
      </c>
      <c r="N113" s="32">
        <v>13682827197896</v>
      </c>
      <c r="O113" s="26">
        <f t="shared" si="13"/>
        <v>0.49912644077798207</v>
      </c>
      <c r="P113" s="32">
        <v>6365447480547</v>
      </c>
      <c r="Q113" s="32">
        <f>15731*465156679</f>
        <v>7317379717349</v>
      </c>
      <c r="R113" s="8">
        <f t="shared" si="9"/>
        <v>0.86990804446774372</v>
      </c>
      <c r="S113" s="32">
        <v>13682827197896</v>
      </c>
      <c r="T113" s="8">
        <f t="shared" si="14"/>
        <v>30.247162673283235</v>
      </c>
    </row>
    <row r="114" spans="1:20" x14ac:dyDescent="0.35">
      <c r="A114" s="2">
        <v>38</v>
      </c>
      <c r="B114" s="1" t="s">
        <v>85</v>
      </c>
      <c r="C114" s="1">
        <v>2023</v>
      </c>
      <c r="D114" s="32">
        <v>1994700000000</v>
      </c>
      <c r="E114" s="32">
        <f>15416*405935865</f>
        <v>6257907294840</v>
      </c>
      <c r="F114" s="32">
        <f t="shared" si="11"/>
        <v>8252607294840</v>
      </c>
      <c r="G114" s="32">
        <f>15416*821100204</f>
        <v>12658080744864</v>
      </c>
      <c r="H114" s="8">
        <f t="shared" si="15"/>
        <v>0.6519635528623472</v>
      </c>
      <c r="I114" s="26">
        <v>0.61111000000000004</v>
      </c>
      <c r="J114" s="2">
        <v>3</v>
      </c>
      <c r="K114" s="32">
        <f>15416*12574550</f>
        <v>193849262800</v>
      </c>
      <c r="L114" s="32">
        <v>12658080744864</v>
      </c>
      <c r="M114" s="32">
        <v>6257907294840</v>
      </c>
      <c r="N114" s="32">
        <v>12658080744864</v>
      </c>
      <c r="O114" s="26">
        <f t="shared" si="13"/>
        <v>0.50969469129494938</v>
      </c>
      <c r="P114" s="32">
        <v>6257907294840</v>
      </c>
      <c r="Q114" s="32">
        <f>15416*415164339</f>
        <v>6400173450024</v>
      </c>
      <c r="R114" s="8">
        <f t="shared" si="9"/>
        <v>0.97777151567924048</v>
      </c>
      <c r="S114" s="32">
        <v>12658080744864</v>
      </c>
      <c r="T114" s="8">
        <f t="shared" si="14"/>
        <v>30.169316921220393</v>
      </c>
    </row>
    <row r="115" spans="1:20" x14ac:dyDescent="0.35">
      <c r="A115" s="3">
        <v>38</v>
      </c>
      <c r="B115" s="4" t="s">
        <v>85</v>
      </c>
      <c r="C115" s="4">
        <v>2024</v>
      </c>
      <c r="D115" s="33">
        <v>1811580000000</v>
      </c>
      <c r="E115" s="33">
        <f>16162*380447481</f>
        <v>6148792187922</v>
      </c>
      <c r="F115" s="33">
        <f t="shared" si="11"/>
        <v>7960372187922</v>
      </c>
      <c r="G115" s="33">
        <f>16162*777594299</f>
        <v>12567479060438</v>
      </c>
      <c r="H115" s="9">
        <f t="shared" si="15"/>
        <v>0.63341041983359914</v>
      </c>
      <c r="I115" s="27">
        <v>0.61111000000000004</v>
      </c>
      <c r="J115" s="3">
        <v>3</v>
      </c>
      <c r="K115" s="33">
        <f>16162*26782444</f>
        <v>432857859928</v>
      </c>
      <c r="L115" s="33">
        <v>12567479060438</v>
      </c>
      <c r="M115" s="33">
        <v>6148792187922</v>
      </c>
      <c r="N115" s="33">
        <v>12567479060438</v>
      </c>
      <c r="O115" s="27">
        <f t="shared" si="13"/>
        <v>0.52370487479615635</v>
      </c>
      <c r="P115" s="33">
        <v>6148792187922</v>
      </c>
      <c r="Q115" s="33">
        <f>16162*397146818</f>
        <v>6418686872516</v>
      </c>
      <c r="R115" s="9">
        <f t="shared" si="9"/>
        <v>0.95795172907566895</v>
      </c>
      <c r="S115" s="33">
        <v>12567479060438</v>
      </c>
      <c r="T115" s="9">
        <f t="shared" si="14"/>
        <v>30.162133566344099</v>
      </c>
    </row>
    <row r="116" spans="1:20" x14ac:dyDescent="0.35">
      <c r="A116" s="49">
        <v>39</v>
      </c>
      <c r="B116" s="1" t="s">
        <v>86</v>
      </c>
      <c r="C116" s="1">
        <v>2022</v>
      </c>
      <c r="D116" s="32">
        <v>127221235075</v>
      </c>
      <c r="E116" s="32">
        <f>15731*1172514690</f>
        <v>18444828588390</v>
      </c>
      <c r="F116" s="32">
        <f t="shared" si="11"/>
        <v>18572049823465</v>
      </c>
      <c r="G116" s="32">
        <f>15731*228076478</f>
        <v>3587871075418</v>
      </c>
      <c r="H116" s="8">
        <f t="shared" si="15"/>
        <v>5.1763425811785302</v>
      </c>
      <c r="I116" s="26">
        <v>0.61111000000000004</v>
      </c>
      <c r="J116" s="2">
        <v>3</v>
      </c>
      <c r="K116" s="32">
        <f>15731*6018967</f>
        <v>94684369877</v>
      </c>
      <c r="L116" s="32">
        <v>3587871075418</v>
      </c>
      <c r="M116" s="32">
        <v>18444828588390</v>
      </c>
      <c r="N116" s="32">
        <v>3587871075418</v>
      </c>
      <c r="O116" s="26">
        <f t="shared" si="13"/>
        <v>5.1672740097293159</v>
      </c>
      <c r="P116" s="32">
        <v>18444828588390</v>
      </c>
      <c r="Q116" s="32">
        <f>15731*-944438212</f>
        <v>-14856957512972</v>
      </c>
      <c r="R116" s="8">
        <f t="shared" si="9"/>
        <v>-1.2414943350470873</v>
      </c>
      <c r="S116" s="32">
        <v>3587871075418</v>
      </c>
      <c r="T116" s="8">
        <f t="shared" si="14"/>
        <v>28.908580127321773</v>
      </c>
    </row>
    <row r="117" spans="1:20" x14ac:dyDescent="0.35">
      <c r="A117" s="2">
        <v>39</v>
      </c>
      <c r="B117" s="1" t="s">
        <v>86</v>
      </c>
      <c r="C117" s="1">
        <v>2023</v>
      </c>
      <c r="D117" s="32">
        <v>115655668250</v>
      </c>
      <c r="E117" s="32">
        <f>15416*1166388998</f>
        <v>17981052793168</v>
      </c>
      <c r="F117" s="32">
        <f t="shared" si="11"/>
        <v>18096708461418</v>
      </c>
      <c r="G117" s="32">
        <f>15416*211215567</f>
        <v>3256099180872</v>
      </c>
      <c r="H117" s="8">
        <f t="shared" si="15"/>
        <v>5.557787848640289</v>
      </c>
      <c r="I117" s="26">
        <v>0.61111000000000004</v>
      </c>
      <c r="J117" s="2">
        <v>3</v>
      </c>
      <c r="K117" s="32">
        <f>15416*3867904</f>
        <v>59627608064</v>
      </c>
      <c r="L117" s="32">
        <v>3256099180872</v>
      </c>
      <c r="M117" s="32">
        <v>17981052793168</v>
      </c>
      <c r="N117" s="32">
        <v>3256099180872</v>
      </c>
      <c r="O117" s="26">
        <f t="shared" si="13"/>
        <v>5.5405807375930767</v>
      </c>
      <c r="P117" s="32">
        <v>17981052793168</v>
      </c>
      <c r="Q117" s="32">
        <f>15416*-955173431</f>
        <v>-14724953612296</v>
      </c>
      <c r="R117" s="8">
        <f t="shared" si="9"/>
        <v>-1.2211279754493087</v>
      </c>
      <c r="S117" s="32">
        <v>3256090180872</v>
      </c>
      <c r="T117" s="8">
        <f t="shared" si="14"/>
        <v>28.811548260513302</v>
      </c>
    </row>
    <row r="118" spans="1:20" x14ac:dyDescent="0.35">
      <c r="A118" s="3">
        <v>39</v>
      </c>
      <c r="B118" s="4" t="s">
        <v>86</v>
      </c>
      <c r="C118" s="4">
        <v>2024</v>
      </c>
      <c r="D118" s="33">
        <v>43949153935</v>
      </c>
      <c r="E118" s="33">
        <f>16162*1112059643</f>
        <v>17973107950166</v>
      </c>
      <c r="F118" s="33">
        <f t="shared" si="11"/>
        <v>18017057104101</v>
      </c>
      <c r="G118" s="33">
        <f>16162*108994088</f>
        <v>1761562450256</v>
      </c>
      <c r="H118" s="9">
        <f>F118/G118</f>
        <v>10.22788439971723</v>
      </c>
      <c r="I118" s="27">
        <v>0.61111000000000004</v>
      </c>
      <c r="J118" s="3">
        <v>3</v>
      </c>
      <c r="K118" s="33">
        <f>16162*5100890</f>
        <v>82440584180</v>
      </c>
      <c r="L118" s="33">
        <v>1761562450256</v>
      </c>
      <c r="M118" s="33">
        <v>17973107950166</v>
      </c>
      <c r="N118" s="33">
        <v>1761562450256</v>
      </c>
      <c r="O118" s="27">
        <f t="shared" si="13"/>
        <v>10.249735132422961</v>
      </c>
      <c r="P118" s="33">
        <v>17973107950166</v>
      </c>
      <c r="Q118" s="33">
        <f>16162*-1003065555</f>
        <v>-16211545499910</v>
      </c>
      <c r="R118" s="9">
        <f t="shared" si="9"/>
        <v>-1.1086609817839872</v>
      </c>
      <c r="S118" s="33">
        <v>1761562450256</v>
      </c>
      <c r="T118" s="9">
        <f t="shared" si="14"/>
        <v>28.197222286983738</v>
      </c>
    </row>
    <row r="119" spans="1:20" x14ac:dyDescent="0.35">
      <c r="A119" s="40">
        <v>40</v>
      </c>
      <c r="B119" s="1" t="s">
        <v>168</v>
      </c>
      <c r="C119" s="1">
        <v>2022</v>
      </c>
      <c r="D119" s="32">
        <v>1258271823598</v>
      </c>
      <c r="E119" s="32">
        <v>301997266597</v>
      </c>
      <c r="F119" s="32">
        <f>D119+E119</f>
        <v>1560269090195</v>
      </c>
      <c r="G119" s="32">
        <v>2797005026270</v>
      </c>
      <c r="H119" s="31">
        <f>F119/G119</f>
        <v>0.55783564045851108</v>
      </c>
      <c r="I119" s="26">
        <v>0.72221999999999997</v>
      </c>
      <c r="J119" s="2">
        <v>3</v>
      </c>
      <c r="K119" s="32">
        <v>305620879456</v>
      </c>
      <c r="L119" s="32">
        <v>2797005026270</v>
      </c>
      <c r="M119" s="32">
        <v>301997266597</v>
      </c>
      <c r="N119" s="32">
        <v>2797005026270</v>
      </c>
      <c r="O119" s="26">
        <f t="shared" si="13"/>
        <v>0.21723884667568899</v>
      </c>
      <c r="P119" s="32">
        <v>301997266597</v>
      </c>
      <c r="Q119" s="32">
        <v>2495007759673</v>
      </c>
      <c r="R119" s="31">
        <f>P119/Q119</f>
        <v>0.12104061216890975</v>
      </c>
      <c r="S119" s="32">
        <v>2797005026270</v>
      </c>
      <c r="T119" s="31">
        <f>LN(S119)</f>
        <v>28.659570327168566</v>
      </c>
    </row>
    <row r="120" spans="1:20" x14ac:dyDescent="0.35">
      <c r="A120" s="40">
        <v>40</v>
      </c>
      <c r="B120" s="1" t="s">
        <v>168</v>
      </c>
      <c r="C120" s="1">
        <v>2023</v>
      </c>
      <c r="D120" s="32">
        <v>1354445466166</v>
      </c>
      <c r="E120" s="32">
        <v>381355701983</v>
      </c>
      <c r="F120" s="32">
        <f t="shared" ref="F120:F121" si="16">D120+E120</f>
        <v>1735801168149</v>
      </c>
      <c r="G120" s="32">
        <v>2976407140255</v>
      </c>
      <c r="H120" s="8">
        <f t="shared" ref="H120:H121" si="17">F120/G120</f>
        <v>0.58318673701350121</v>
      </c>
      <c r="I120" s="26">
        <v>0.72221999999999997</v>
      </c>
      <c r="J120" s="2">
        <v>3</v>
      </c>
      <c r="K120" s="32">
        <v>749524499011</v>
      </c>
      <c r="L120" s="32">
        <v>2976407140255</v>
      </c>
      <c r="M120" s="32">
        <v>381355701983</v>
      </c>
      <c r="N120" s="32">
        <v>2976407140255</v>
      </c>
      <c r="O120" s="26">
        <f t="shared" si="13"/>
        <v>0.37994808764539967</v>
      </c>
      <c r="P120" s="32">
        <v>381355701983</v>
      </c>
      <c r="Q120" s="32">
        <v>2595051438272</v>
      </c>
      <c r="R120" s="8">
        <f t="shared" ref="R120:R121" si="18">P120/Q120</f>
        <v>0.14695496835197155</v>
      </c>
      <c r="S120" s="32">
        <v>2976407140255</v>
      </c>
      <c r="T120" s="8">
        <f t="shared" ref="T120:T121" si="19">LN(S120)</f>
        <v>28.721738031423435</v>
      </c>
    </row>
    <row r="121" spans="1:20" x14ac:dyDescent="0.35">
      <c r="A121" s="41">
        <v>40</v>
      </c>
      <c r="B121" s="4" t="s">
        <v>168</v>
      </c>
      <c r="C121" s="4">
        <v>2024</v>
      </c>
      <c r="D121" s="33">
        <v>1562821691730</v>
      </c>
      <c r="E121" s="33">
        <v>333194743386</v>
      </c>
      <c r="F121" s="33">
        <f t="shared" si="16"/>
        <v>1896016435116</v>
      </c>
      <c r="G121" s="33">
        <v>3120121052477</v>
      </c>
      <c r="H121" s="9">
        <f t="shared" si="17"/>
        <v>0.60767399829272373</v>
      </c>
      <c r="I121" s="27">
        <v>0.72221999999999997</v>
      </c>
      <c r="J121" s="3">
        <v>3</v>
      </c>
      <c r="K121" s="33">
        <v>283689474829</v>
      </c>
      <c r="L121" s="33">
        <v>3120121052477</v>
      </c>
      <c r="M121" s="33">
        <v>333194743386</v>
      </c>
      <c r="N121" s="33">
        <v>3120121052477</v>
      </c>
      <c r="O121" s="27">
        <f t="shared" si="13"/>
        <v>0.19771162972195205</v>
      </c>
      <c r="P121" s="33">
        <v>333194743386</v>
      </c>
      <c r="Q121" s="33">
        <v>2786926309091</v>
      </c>
      <c r="R121" s="9">
        <f t="shared" si="18"/>
        <v>0.11955635220748866</v>
      </c>
      <c r="S121" s="33">
        <v>3120121052477</v>
      </c>
      <c r="T121" s="9">
        <f t="shared" si="19"/>
        <v>28.768892915868115</v>
      </c>
    </row>
    <row r="122" spans="1:20" x14ac:dyDescent="0.35">
      <c r="A122" s="2">
        <v>41</v>
      </c>
      <c r="B122" s="1" t="s">
        <v>138</v>
      </c>
      <c r="C122" s="1">
        <v>2022</v>
      </c>
      <c r="D122" s="32">
        <v>273280000000</v>
      </c>
      <c r="E122" s="32">
        <v>263944952156</v>
      </c>
      <c r="F122" s="32">
        <f t="shared" si="11"/>
        <v>537224952156</v>
      </c>
      <c r="G122" s="32">
        <v>1508596356369</v>
      </c>
      <c r="H122" s="65">
        <f t="shared" si="15"/>
        <v>0.35610914071742311</v>
      </c>
      <c r="I122" s="26">
        <v>0.61111000000000004</v>
      </c>
      <c r="J122" s="2">
        <v>3</v>
      </c>
      <c r="K122" s="32">
        <v>11661752737</v>
      </c>
      <c r="L122" s="32">
        <v>1508596356369</v>
      </c>
      <c r="M122" s="32">
        <v>263944952156</v>
      </c>
      <c r="N122" s="32">
        <v>1508596356369</v>
      </c>
      <c r="O122" s="26">
        <f>(K122/L122)+(M122/N122)</f>
        <v>0.18269081966786022</v>
      </c>
      <c r="P122" s="32">
        <v>263944952156</v>
      </c>
      <c r="Q122" s="32">
        <v>1244651404213</v>
      </c>
      <c r="R122" s="8">
        <f t="shared" si="9"/>
        <v>0.21206335465703657</v>
      </c>
      <c r="S122" s="32">
        <v>1508596356369</v>
      </c>
      <c r="T122" s="8">
        <f t="shared" si="14"/>
        <v>28.042200769123067</v>
      </c>
    </row>
    <row r="123" spans="1:20" x14ac:dyDescent="0.35">
      <c r="A123" s="2">
        <v>41</v>
      </c>
      <c r="B123" s="1" t="s">
        <v>138</v>
      </c>
      <c r="C123" s="1">
        <v>2023</v>
      </c>
      <c r="D123" s="32">
        <v>293440000000</v>
      </c>
      <c r="E123" s="32">
        <v>332693315665</v>
      </c>
      <c r="F123" s="32">
        <f t="shared" si="11"/>
        <v>626133315665</v>
      </c>
      <c r="G123" s="32">
        <v>1597442418776</v>
      </c>
      <c r="H123" s="8">
        <f t="shared" si="15"/>
        <v>0.39195986553603535</v>
      </c>
      <c r="I123" s="26">
        <v>0.61111000000000004</v>
      </c>
      <c r="J123" s="2">
        <v>3</v>
      </c>
      <c r="K123" s="32">
        <v>55065517280</v>
      </c>
      <c r="L123" s="32">
        <v>1597442418776</v>
      </c>
      <c r="M123" s="32">
        <v>332693315665</v>
      </c>
      <c r="N123" s="32">
        <v>1597442418776</v>
      </c>
      <c r="O123" s="26">
        <f t="shared" ref="O123:O130" si="20">(K123/L123)+(M123/N123)</f>
        <v>0.24273728328944114</v>
      </c>
      <c r="P123" s="32">
        <v>332693315665</v>
      </c>
      <c r="Q123" s="32">
        <v>1264749103111</v>
      </c>
      <c r="R123" s="8">
        <f t="shared" si="9"/>
        <v>0.26305084134604156</v>
      </c>
      <c r="S123" s="32">
        <v>1597442418776</v>
      </c>
      <c r="T123" s="8">
        <f t="shared" si="14"/>
        <v>28.099424977963817</v>
      </c>
    </row>
    <row r="124" spans="1:20" x14ac:dyDescent="0.35">
      <c r="A124" s="3">
        <v>41</v>
      </c>
      <c r="B124" s="4" t="s">
        <v>138</v>
      </c>
      <c r="C124" s="4">
        <v>2024</v>
      </c>
      <c r="D124" s="33">
        <v>1032640000000</v>
      </c>
      <c r="E124" s="33">
        <v>469346689838</v>
      </c>
      <c r="F124" s="33">
        <f t="shared" si="11"/>
        <v>1501986689838</v>
      </c>
      <c r="G124" s="33">
        <v>1891149003560</v>
      </c>
      <c r="H124" s="9">
        <f t="shared" si="15"/>
        <v>0.79421911600332917</v>
      </c>
      <c r="I124" s="27">
        <v>0.61111000000000004</v>
      </c>
      <c r="J124" s="3">
        <v>3</v>
      </c>
      <c r="K124" s="33">
        <v>18346987843</v>
      </c>
      <c r="L124" s="33">
        <v>1891149003560</v>
      </c>
      <c r="M124" s="33">
        <v>469346689838</v>
      </c>
      <c r="N124" s="33">
        <v>1891149003560</v>
      </c>
      <c r="O124" s="27">
        <f t="shared" si="20"/>
        <v>0.25788220640623205</v>
      </c>
      <c r="P124" s="33">
        <v>469346689838</v>
      </c>
      <c r="Q124" s="33">
        <v>1421802313722</v>
      </c>
      <c r="R124" s="9">
        <f t="shared" si="9"/>
        <v>0.33010685473520035</v>
      </c>
      <c r="S124" s="33">
        <v>1891149003560</v>
      </c>
      <c r="T124" s="9">
        <f t="shared" si="14"/>
        <v>28.268205698671952</v>
      </c>
    </row>
    <row r="125" spans="1:20" x14ac:dyDescent="0.35">
      <c r="A125" s="2">
        <v>42</v>
      </c>
      <c r="B125" s="1" t="s">
        <v>89</v>
      </c>
      <c r="C125" s="1">
        <v>2022</v>
      </c>
      <c r="D125" s="32">
        <v>577628760705</v>
      </c>
      <c r="E125" s="32">
        <v>1946850733366</v>
      </c>
      <c r="F125" s="32">
        <f t="shared" si="11"/>
        <v>2524479494071</v>
      </c>
      <c r="G125" s="32">
        <v>2665946796991</v>
      </c>
      <c r="H125" s="8">
        <f t="shared" si="15"/>
        <v>0.94693543656622436</v>
      </c>
      <c r="I125" s="26">
        <v>0.77778000000000003</v>
      </c>
      <c r="J125" s="2">
        <v>3</v>
      </c>
      <c r="K125" s="32">
        <v>202941497155</v>
      </c>
      <c r="L125" s="32">
        <v>2665946796991</v>
      </c>
      <c r="M125" s="32">
        <v>1946850733366</v>
      </c>
      <c r="N125" s="32">
        <v>2665946796991</v>
      </c>
      <c r="O125" s="26">
        <f t="shared" si="20"/>
        <v>0.80638977227431052</v>
      </c>
      <c r="P125" s="32">
        <v>1946850733366</v>
      </c>
      <c r="Q125" s="32">
        <v>719096063625</v>
      </c>
      <c r="R125" s="8">
        <f t="shared" si="9"/>
        <v>2.7073583514722999</v>
      </c>
      <c r="S125" s="32">
        <v>2665946796991</v>
      </c>
      <c r="T125" s="8">
        <f t="shared" si="14"/>
        <v>28.611580381368533</v>
      </c>
    </row>
    <row r="126" spans="1:20" x14ac:dyDescent="0.35">
      <c r="A126" s="2">
        <v>42</v>
      </c>
      <c r="B126" s="1" t="s">
        <v>89</v>
      </c>
      <c r="C126" s="1">
        <v>2023</v>
      </c>
      <c r="D126" s="32">
        <v>914232570900</v>
      </c>
      <c r="E126" s="32">
        <v>1887266483419</v>
      </c>
      <c r="F126" s="32">
        <f t="shared" si="11"/>
        <v>2801499054319</v>
      </c>
      <c r="G126" s="32">
        <v>2623144891155</v>
      </c>
      <c r="H126" s="8">
        <f t="shared" si="15"/>
        <v>1.0679924939584517</v>
      </c>
      <c r="I126" s="26">
        <v>0.77778000000000003</v>
      </c>
      <c r="J126" s="2">
        <v>3</v>
      </c>
      <c r="K126" s="32">
        <v>234737156111</v>
      </c>
      <c r="L126" s="32">
        <v>2623144891155</v>
      </c>
      <c r="M126" s="32">
        <v>1887266483419</v>
      </c>
      <c r="N126" s="32">
        <v>2623144891155</v>
      </c>
      <c r="O126" s="26">
        <f t="shared" si="20"/>
        <v>0.80895403326182957</v>
      </c>
      <c r="P126" s="32">
        <v>1887266483419</v>
      </c>
      <c r="Q126" s="32">
        <v>735878407736</v>
      </c>
      <c r="R126" s="8">
        <f t="shared" si="9"/>
        <v>2.5646444624260072</v>
      </c>
      <c r="S126" s="32">
        <v>2623144891155</v>
      </c>
      <c r="T126" s="8">
        <f t="shared" si="14"/>
        <v>28.595395054004801</v>
      </c>
    </row>
    <row r="127" spans="1:20" x14ac:dyDescent="0.35">
      <c r="A127" s="3">
        <v>42</v>
      </c>
      <c r="B127" s="4" t="s">
        <v>89</v>
      </c>
      <c r="C127" s="4">
        <v>2024</v>
      </c>
      <c r="D127" s="33">
        <v>955788596850</v>
      </c>
      <c r="E127" s="33">
        <v>1184890279314</v>
      </c>
      <c r="F127" s="33">
        <f t="shared" si="11"/>
        <v>2140678876164</v>
      </c>
      <c r="G127" s="33">
        <v>1833424147167</v>
      </c>
      <c r="H127" s="9">
        <f t="shared" si="15"/>
        <v>1.1675851872420078</v>
      </c>
      <c r="I127" s="27">
        <v>0.77778000000000003</v>
      </c>
      <c r="J127" s="3">
        <v>3</v>
      </c>
      <c r="K127" s="33">
        <v>273362762897</v>
      </c>
      <c r="L127" s="33">
        <v>1833424147167</v>
      </c>
      <c r="M127" s="33">
        <v>1184890279314</v>
      </c>
      <c r="N127" s="33">
        <v>1833424147167</v>
      </c>
      <c r="O127" s="27">
        <f t="shared" si="20"/>
        <v>0.79537135172146989</v>
      </c>
      <c r="P127" s="33">
        <v>1184890279314</v>
      </c>
      <c r="Q127" s="33">
        <v>648533867853</v>
      </c>
      <c r="R127" s="9">
        <f t="shared" si="9"/>
        <v>1.8270291468919451</v>
      </c>
      <c r="S127" s="33">
        <v>1833424147167</v>
      </c>
      <c r="T127" s="9">
        <f t="shared" si="14"/>
        <v>28.237206453090419</v>
      </c>
    </row>
    <row r="128" spans="1:20" x14ac:dyDescent="0.35">
      <c r="A128" s="2">
        <v>43</v>
      </c>
      <c r="B128" s="42" t="s">
        <v>153</v>
      </c>
      <c r="C128" s="1">
        <v>2022</v>
      </c>
      <c r="D128" s="32">
        <v>1020354048000</v>
      </c>
      <c r="E128" s="32">
        <f>15731*47945353</f>
        <v>754228348043</v>
      </c>
      <c r="F128" s="32">
        <f t="shared" si="11"/>
        <v>1774582396043</v>
      </c>
      <c r="G128" s="32">
        <f>15731*147616234</f>
        <v>2322150977054</v>
      </c>
      <c r="H128" s="8">
        <f t="shared" si="15"/>
        <v>0.7641976829147975</v>
      </c>
      <c r="I128" s="26">
        <v>0.55556000000000005</v>
      </c>
      <c r="J128" s="2">
        <v>3</v>
      </c>
      <c r="K128" s="32">
        <f>15731*13790373</f>
        <v>216936357663</v>
      </c>
      <c r="L128" s="32">
        <v>2322150977054</v>
      </c>
      <c r="M128" s="32">
        <v>754228348043</v>
      </c>
      <c r="N128" s="32">
        <v>2322150977054</v>
      </c>
      <c r="O128" s="26">
        <f t="shared" si="20"/>
        <v>0.4182177280040893</v>
      </c>
      <c r="P128" s="32">
        <v>754228343043</v>
      </c>
      <c r="Q128" s="32">
        <f>15731*99670881</f>
        <v>1567922629011</v>
      </c>
      <c r="R128" s="8">
        <f t="shared" si="9"/>
        <v>0.48103671003125026</v>
      </c>
      <c r="S128" s="32">
        <v>2322150977054</v>
      </c>
      <c r="T128" s="8">
        <f t="shared" si="14"/>
        <v>28.473515017354948</v>
      </c>
    </row>
    <row r="129" spans="1:20" x14ac:dyDescent="0.35">
      <c r="A129" s="2">
        <v>43</v>
      </c>
      <c r="B129" s="1" t="s">
        <v>153</v>
      </c>
      <c r="C129" s="1">
        <v>2023</v>
      </c>
      <c r="D129" s="32">
        <v>1296699936000</v>
      </c>
      <c r="E129" s="32">
        <f>15416*43261335</f>
        <v>666916740360</v>
      </c>
      <c r="F129" s="32">
        <f t="shared" si="11"/>
        <v>1963616676360</v>
      </c>
      <c r="G129" s="32">
        <f>15416*152134921</f>
        <v>2345311942136</v>
      </c>
      <c r="H129" s="8">
        <f t="shared" si="15"/>
        <v>0.83725181332238052</v>
      </c>
      <c r="I129" s="26">
        <v>0.66666999999999998</v>
      </c>
      <c r="J129" s="2">
        <v>3</v>
      </c>
      <c r="K129" s="32">
        <f>15416*18616778</f>
        <v>286996249648</v>
      </c>
      <c r="L129" s="32">
        <v>2345311942136</v>
      </c>
      <c r="M129" s="32">
        <v>666916740360</v>
      </c>
      <c r="N129" s="32">
        <v>2345311942136</v>
      </c>
      <c r="O129" s="26">
        <f t="shared" si="20"/>
        <v>0.40673181800252156</v>
      </c>
      <c r="P129" s="32">
        <v>666916740360</v>
      </c>
      <c r="Q129" s="32">
        <f>15416*108873586</f>
        <v>1678395201776</v>
      </c>
      <c r="R129" s="8">
        <f t="shared" si="9"/>
        <v>0.39735381729779712</v>
      </c>
      <c r="S129" s="32">
        <v>2345311942136</v>
      </c>
      <c r="T129" s="8">
        <f t="shared" si="14"/>
        <v>28.483439533344868</v>
      </c>
    </row>
    <row r="130" spans="1:20" x14ac:dyDescent="0.35">
      <c r="A130" s="3">
        <v>43</v>
      </c>
      <c r="B130" s="4" t="s">
        <v>153</v>
      </c>
      <c r="C130" s="4">
        <v>2024</v>
      </c>
      <c r="D130" s="33">
        <v>1046925768000</v>
      </c>
      <c r="E130" s="33">
        <f>16162*41065424</f>
        <v>663699382688</v>
      </c>
      <c r="F130" s="33">
        <f t="shared" si="11"/>
        <v>1710625150688</v>
      </c>
      <c r="G130" s="33">
        <f>16162*156223047</f>
        <v>2524876885614</v>
      </c>
      <c r="H130" s="9">
        <f t="shared" si="15"/>
        <v>0.67750834127185966</v>
      </c>
      <c r="I130" s="27">
        <v>0.72221999999999997</v>
      </c>
      <c r="J130" s="3">
        <v>3</v>
      </c>
      <c r="K130" s="33">
        <f>16162*22911386</f>
        <v>370293820532</v>
      </c>
      <c r="L130" s="33">
        <v>2524876885614</v>
      </c>
      <c r="M130" s="33">
        <v>663699382688</v>
      </c>
      <c r="N130" s="33">
        <v>1524876885614</v>
      </c>
      <c r="O130" s="27">
        <f t="shared" si="20"/>
        <v>0.5819060166591189</v>
      </c>
      <c r="P130" s="33">
        <v>663699382688</v>
      </c>
      <c r="Q130" s="33">
        <f>16162*115157623</f>
        <v>1861177502926</v>
      </c>
      <c r="R130" s="9">
        <f t="shared" si="9"/>
        <v>0.35660187254820291</v>
      </c>
      <c r="S130" s="33">
        <v>1524876885614</v>
      </c>
      <c r="T130" s="9">
        <f t="shared" si="14"/>
        <v>28.052934791984104</v>
      </c>
    </row>
    <row r="131" spans="1:20" x14ac:dyDescent="0.35">
      <c r="A131" s="2">
        <v>44</v>
      </c>
      <c r="B131" s="1" t="s">
        <v>91</v>
      </c>
      <c r="C131" s="1">
        <v>2022</v>
      </c>
      <c r="D131" s="32">
        <v>4262004380000</v>
      </c>
      <c r="E131" s="32">
        <v>310746000000</v>
      </c>
      <c r="F131" s="32">
        <f>D131+E131</f>
        <v>4572750380000</v>
      </c>
      <c r="G131" s="32">
        <v>1645582000000</v>
      </c>
      <c r="H131" s="8">
        <f t="shared" si="15"/>
        <v>2.77880432576438</v>
      </c>
      <c r="I131" s="26">
        <v>0.66666999999999998</v>
      </c>
      <c r="J131" s="2">
        <v>3</v>
      </c>
      <c r="K131" s="32">
        <v>377722000000</v>
      </c>
      <c r="L131" s="32">
        <v>1645582000000</v>
      </c>
      <c r="M131" s="32">
        <v>310746000000</v>
      </c>
      <c r="N131" s="32">
        <v>1645582000000</v>
      </c>
      <c r="O131" s="26">
        <f>(K131/L131)+(M131/N131)</f>
        <v>0.4183735602358315</v>
      </c>
      <c r="P131" s="32">
        <v>310746000000</v>
      </c>
      <c r="Q131" s="32">
        <v>1334836000000</v>
      </c>
      <c r="R131" s="8">
        <f t="shared" ref="R131:R196" si="21">P131/Q131</f>
        <v>0.23279713762589563</v>
      </c>
      <c r="S131" s="32">
        <v>1645582000000</v>
      </c>
      <c r="T131" s="8">
        <f>LN(S131)</f>
        <v>28.129115236965735</v>
      </c>
    </row>
    <row r="132" spans="1:20" x14ac:dyDescent="0.35">
      <c r="A132" s="2">
        <v>44</v>
      </c>
      <c r="B132" s="1" t="s">
        <v>91</v>
      </c>
      <c r="C132" s="1">
        <v>2023</v>
      </c>
      <c r="D132" s="32">
        <v>5707251540000</v>
      </c>
      <c r="E132" s="32">
        <v>355374000000</v>
      </c>
      <c r="F132" s="32">
        <f t="shared" ref="F132:F196" si="22">D132+E132</f>
        <v>6062625540000</v>
      </c>
      <c r="G132" s="32">
        <v>2085182000000</v>
      </c>
      <c r="H132" s="8">
        <f t="shared" si="15"/>
        <v>2.9074802775009569</v>
      </c>
      <c r="I132" s="26">
        <v>0.66666999999999998</v>
      </c>
      <c r="J132" s="2">
        <v>3</v>
      </c>
      <c r="K132" s="32">
        <v>753508000000</v>
      </c>
      <c r="L132" s="32">
        <v>2085182000000</v>
      </c>
      <c r="M132" s="32">
        <v>355374000000</v>
      </c>
      <c r="N132" s="32">
        <v>2085182000000</v>
      </c>
      <c r="O132" s="26">
        <f t="shared" ref="O132:O175" si="23">(K132/L132)+(M132/N132)</f>
        <v>0.53179146952160528</v>
      </c>
      <c r="P132" s="32">
        <v>355374000000</v>
      </c>
      <c r="Q132" s="32">
        <v>1729808000000</v>
      </c>
      <c r="R132" s="8">
        <f t="shared" si="21"/>
        <v>0.2054412975312867</v>
      </c>
      <c r="S132" s="32">
        <v>2085182000000</v>
      </c>
      <c r="T132" s="8">
        <f t="shared" ref="T132:T175" si="24">LN(S132)</f>
        <v>28.365877257537612</v>
      </c>
    </row>
    <row r="133" spans="1:20" x14ac:dyDescent="0.35">
      <c r="A133" s="3">
        <v>44</v>
      </c>
      <c r="B133" s="4" t="s">
        <v>91</v>
      </c>
      <c r="C133" s="4">
        <v>2024</v>
      </c>
      <c r="D133" s="33">
        <v>5368060880000</v>
      </c>
      <c r="E133" s="33">
        <v>438373000000</v>
      </c>
      <c r="F133" s="33">
        <f t="shared" si="22"/>
        <v>5806433880000</v>
      </c>
      <c r="G133" s="33">
        <v>2696874000000</v>
      </c>
      <c r="H133" s="9">
        <f t="shared" si="15"/>
        <v>2.1530237897654843</v>
      </c>
      <c r="I133" s="27">
        <v>0.72221999999999997</v>
      </c>
      <c r="J133" s="3">
        <v>3</v>
      </c>
      <c r="K133" s="33">
        <v>858294000000</v>
      </c>
      <c r="L133" s="33">
        <v>2696874000000</v>
      </c>
      <c r="M133" s="33">
        <v>438373000000</v>
      </c>
      <c r="N133" s="33">
        <v>2696874000000</v>
      </c>
      <c r="O133" s="27">
        <f t="shared" si="23"/>
        <v>0.48080370087738622</v>
      </c>
      <c r="P133" s="33">
        <v>438373000000</v>
      </c>
      <c r="Q133" s="33">
        <v>2258501000000</v>
      </c>
      <c r="R133" s="9">
        <f t="shared" si="21"/>
        <v>0.19409909493066418</v>
      </c>
      <c r="S133" s="33">
        <v>2696874000000</v>
      </c>
      <c r="T133" s="9">
        <f t="shared" si="24"/>
        <v>28.6231144404186</v>
      </c>
    </row>
    <row r="134" spans="1:20" x14ac:dyDescent="0.35">
      <c r="A134" s="2">
        <v>45</v>
      </c>
      <c r="B134" s="1" t="s">
        <v>92</v>
      </c>
      <c r="C134" s="1">
        <v>2022</v>
      </c>
      <c r="D134" s="32">
        <v>1322275600000</v>
      </c>
      <c r="E134" s="32">
        <v>1048489000000</v>
      </c>
      <c r="F134" s="32">
        <f t="shared" si="22"/>
        <v>2370764600000</v>
      </c>
      <c r="G134" s="32">
        <v>1826350000000</v>
      </c>
      <c r="H134" s="8">
        <f t="shared" si="15"/>
        <v>1.2980888657705258</v>
      </c>
      <c r="I134" s="26">
        <v>0.66666999999999998</v>
      </c>
      <c r="J134" s="2">
        <v>3</v>
      </c>
      <c r="K134" s="32">
        <v>558960000000</v>
      </c>
      <c r="L134" s="32">
        <v>1826350000000</v>
      </c>
      <c r="M134" s="32">
        <v>1048489000000</v>
      </c>
      <c r="N134" s="32">
        <v>1826350000000</v>
      </c>
      <c r="O134" s="26">
        <f t="shared" si="23"/>
        <v>0.88014290798587347</v>
      </c>
      <c r="P134" s="32">
        <v>1048489000000</v>
      </c>
      <c r="Q134" s="32">
        <v>777861000000</v>
      </c>
      <c r="R134" s="8">
        <f t="shared" si="21"/>
        <v>1.347913059016971</v>
      </c>
      <c r="S134" s="32">
        <v>1826350000000</v>
      </c>
      <c r="T134" s="8">
        <f t="shared" si="24"/>
        <v>28.233340555527953</v>
      </c>
    </row>
    <row r="135" spans="1:20" x14ac:dyDescent="0.35">
      <c r="A135" s="2">
        <v>45</v>
      </c>
      <c r="B135" s="1" t="s">
        <v>92</v>
      </c>
      <c r="C135" s="1">
        <v>2023</v>
      </c>
      <c r="D135" s="32">
        <v>337210925700</v>
      </c>
      <c r="E135" s="32">
        <v>881806000000</v>
      </c>
      <c r="F135" s="32">
        <f t="shared" si="22"/>
        <v>1219016925700</v>
      </c>
      <c r="G135" s="32">
        <v>1850004000000</v>
      </c>
      <c r="H135" s="8">
        <f t="shared" si="15"/>
        <v>0.6589266432396903</v>
      </c>
      <c r="I135" s="26">
        <v>0.66666999999999998</v>
      </c>
      <c r="J135" s="2">
        <v>3</v>
      </c>
      <c r="K135" s="32">
        <v>62526000000</v>
      </c>
      <c r="L135" s="32">
        <v>1850004000000</v>
      </c>
      <c r="M135" s="32">
        <v>881806000000</v>
      </c>
      <c r="N135" s="32">
        <v>1850004000000</v>
      </c>
      <c r="O135" s="26">
        <f t="shared" si="23"/>
        <v>0.51044862605702479</v>
      </c>
      <c r="P135" s="32">
        <v>881806000000</v>
      </c>
      <c r="Q135" s="32">
        <v>2256214000000</v>
      </c>
      <c r="R135" s="8">
        <f t="shared" si="21"/>
        <v>0.39083438007210308</v>
      </c>
      <c r="S135" s="32">
        <v>1850004000000</v>
      </c>
      <c r="T135" s="8">
        <f t="shared" si="24"/>
        <v>28.246208917178606</v>
      </c>
    </row>
    <row r="136" spans="1:20" x14ac:dyDescent="0.35">
      <c r="A136" s="3">
        <v>45</v>
      </c>
      <c r="B136" s="4" t="s">
        <v>92</v>
      </c>
      <c r="C136" s="4">
        <v>2024</v>
      </c>
      <c r="D136" s="33">
        <v>977739000000</v>
      </c>
      <c r="E136" s="33">
        <v>918034000000</v>
      </c>
      <c r="F136" s="33">
        <f t="shared" si="22"/>
        <v>1895773000000</v>
      </c>
      <c r="G136" s="33">
        <v>1964172000000</v>
      </c>
      <c r="H136" s="9">
        <f t="shared" si="15"/>
        <v>0.96517667495514647</v>
      </c>
      <c r="I136" s="27">
        <v>0.61111000000000004</v>
      </c>
      <c r="J136" s="3">
        <v>3</v>
      </c>
      <c r="K136" s="33">
        <v>222847000000</v>
      </c>
      <c r="L136" s="33">
        <v>1964172000000</v>
      </c>
      <c r="M136" s="33">
        <v>918034000000</v>
      </c>
      <c r="N136" s="33">
        <v>1964172000000</v>
      </c>
      <c r="O136" s="27">
        <f t="shared" si="23"/>
        <v>0.5808457711442786</v>
      </c>
      <c r="P136" s="33">
        <v>918034000000</v>
      </c>
      <c r="Q136" s="33">
        <v>2347365000000</v>
      </c>
      <c r="R136" s="9">
        <f t="shared" si="21"/>
        <v>0.39109128746488081</v>
      </c>
      <c r="S136" s="33">
        <v>1964172000000</v>
      </c>
      <c r="T136" s="9">
        <f t="shared" si="24"/>
        <v>28.306091898400982</v>
      </c>
    </row>
    <row r="137" spans="1:20" x14ac:dyDescent="0.35">
      <c r="A137" s="2">
        <v>46</v>
      </c>
      <c r="B137" s="1" t="s">
        <v>93</v>
      </c>
      <c r="C137" s="1">
        <v>2022</v>
      </c>
      <c r="D137" s="32">
        <v>11409457310000</v>
      </c>
      <c r="E137" s="32">
        <v>1726614000000</v>
      </c>
      <c r="F137" s="32">
        <f t="shared" si="22"/>
        <v>13136071310000</v>
      </c>
      <c r="G137" s="32">
        <v>3173651000000</v>
      </c>
      <c r="H137" s="8">
        <f t="shared" si="15"/>
        <v>4.1391039247856805</v>
      </c>
      <c r="I137" s="26">
        <v>0.61111000000000004</v>
      </c>
      <c r="J137" s="2">
        <v>3</v>
      </c>
      <c r="K137" s="32">
        <v>65385000000</v>
      </c>
      <c r="L137" s="32">
        <v>3173651000000</v>
      </c>
      <c r="M137" s="32">
        <v>1726614000000</v>
      </c>
      <c r="N137" s="32">
        <v>3173651000000</v>
      </c>
      <c r="O137" s="26">
        <f t="shared" si="23"/>
        <v>0.56464904301071539</v>
      </c>
      <c r="P137" s="32">
        <v>1726614000000</v>
      </c>
      <c r="Q137" s="32">
        <v>1445037000000</v>
      </c>
      <c r="R137" s="8">
        <f t="shared" si="21"/>
        <v>1.1948579863352979</v>
      </c>
      <c r="S137" s="32">
        <v>3173651000000</v>
      </c>
      <c r="T137" s="8">
        <f t="shared" si="24"/>
        <v>28.785903776095555</v>
      </c>
    </row>
    <row r="138" spans="1:20" x14ac:dyDescent="0.35">
      <c r="A138" s="2">
        <v>46</v>
      </c>
      <c r="B138" s="1" t="s">
        <v>93</v>
      </c>
      <c r="C138" s="1">
        <v>2023</v>
      </c>
      <c r="D138" s="32">
        <v>12615188603000</v>
      </c>
      <c r="E138" s="32">
        <v>1736519000000</v>
      </c>
      <c r="F138" s="32">
        <f t="shared" si="22"/>
        <v>14351707603000</v>
      </c>
      <c r="G138" s="32">
        <v>3327846000000</v>
      </c>
      <c r="H138" s="8">
        <f t="shared" si="15"/>
        <v>4.3126117022843005</v>
      </c>
      <c r="I138" s="26">
        <v>0.61111000000000004</v>
      </c>
      <c r="J138" s="2">
        <v>3</v>
      </c>
      <c r="K138" s="32">
        <v>116500000000</v>
      </c>
      <c r="L138" s="32">
        <v>3327846000000</v>
      </c>
      <c r="M138" s="32">
        <v>1736519000000</v>
      </c>
      <c r="N138" s="32">
        <v>3327846000000</v>
      </c>
      <c r="O138" s="26">
        <f t="shared" si="23"/>
        <v>0.55682234093765159</v>
      </c>
      <c r="P138" s="32">
        <v>1736519000000</v>
      </c>
      <c r="Q138" s="32">
        <v>1591327000000</v>
      </c>
      <c r="R138" s="8">
        <f t="shared" si="21"/>
        <v>1.0912395755240751</v>
      </c>
      <c r="S138" s="32">
        <v>3327846000000</v>
      </c>
      <c r="T138" s="8">
        <f t="shared" si="24"/>
        <v>28.833346363778372</v>
      </c>
    </row>
    <row r="139" spans="1:20" x14ac:dyDescent="0.35">
      <c r="A139" s="3">
        <v>46</v>
      </c>
      <c r="B139" s="4" t="s">
        <v>93</v>
      </c>
      <c r="C139" s="4">
        <v>2024</v>
      </c>
      <c r="D139" s="33">
        <v>13541982060000</v>
      </c>
      <c r="E139" s="33">
        <v>2197787000000</v>
      </c>
      <c r="F139" s="33">
        <f t="shared" si="22"/>
        <v>15739769060000</v>
      </c>
      <c r="G139" s="33">
        <v>3817011000000</v>
      </c>
      <c r="H139" s="9">
        <f t="shared" si="15"/>
        <v>4.1235849359616727</v>
      </c>
      <c r="I139" s="27">
        <v>0.66666999999999998</v>
      </c>
      <c r="J139" s="3">
        <v>3</v>
      </c>
      <c r="K139" s="33">
        <v>74006000000</v>
      </c>
      <c r="L139" s="33">
        <v>3817011000000</v>
      </c>
      <c r="M139" s="33">
        <v>2197787000000</v>
      </c>
      <c r="N139" s="33">
        <v>3817011000000</v>
      </c>
      <c r="O139" s="27">
        <f t="shared" si="23"/>
        <v>0.59517591120381885</v>
      </c>
      <c r="P139" s="33">
        <v>2197787000000</v>
      </c>
      <c r="Q139" s="33">
        <v>1619224000000</v>
      </c>
      <c r="R139" s="9">
        <f t="shared" si="21"/>
        <v>1.3573088096520309</v>
      </c>
      <c r="S139" s="33">
        <v>3817011000000</v>
      </c>
      <c r="T139" s="9">
        <f t="shared" si="24"/>
        <v>28.970488771531869</v>
      </c>
    </row>
    <row r="140" spans="1:20" x14ac:dyDescent="0.35">
      <c r="A140" s="2">
        <v>47</v>
      </c>
      <c r="B140" s="1" t="s">
        <v>94</v>
      </c>
      <c r="C140" s="1">
        <v>2022</v>
      </c>
      <c r="D140" s="32">
        <v>1800810000000</v>
      </c>
      <c r="E140" s="32">
        <v>133323429397</v>
      </c>
      <c r="F140" s="32">
        <f t="shared" si="22"/>
        <v>1934133429397</v>
      </c>
      <c r="G140" s="32">
        <v>1074777460412</v>
      </c>
      <c r="H140" s="8">
        <f t="shared" si="15"/>
        <v>1.7995664224811512</v>
      </c>
      <c r="I140" s="26">
        <v>0.66666999999999998</v>
      </c>
      <c r="J140" s="2">
        <v>3</v>
      </c>
      <c r="K140" s="32">
        <v>506458110482</v>
      </c>
      <c r="L140" s="32">
        <v>1074777460412</v>
      </c>
      <c r="M140" s="32">
        <v>133323429397</v>
      </c>
      <c r="N140" s="32">
        <v>1074777460412</v>
      </c>
      <c r="O140" s="26">
        <f t="shared" si="23"/>
        <v>0.59526884722140461</v>
      </c>
      <c r="P140" s="32">
        <v>133323429397</v>
      </c>
      <c r="Q140" s="32">
        <v>941454031015</v>
      </c>
      <c r="R140" s="8">
        <f t="shared" si="21"/>
        <v>0.1416143805271739</v>
      </c>
      <c r="S140" s="32">
        <v>1074777460412</v>
      </c>
      <c r="T140" s="8">
        <f t="shared" si="24"/>
        <v>27.703134742507675</v>
      </c>
    </row>
    <row r="141" spans="1:20" x14ac:dyDescent="0.35">
      <c r="A141" s="2">
        <v>47</v>
      </c>
      <c r="B141" s="1" t="s">
        <v>94</v>
      </c>
      <c r="C141" s="1">
        <v>2023</v>
      </c>
      <c r="D141" s="32">
        <v>2365770000000</v>
      </c>
      <c r="E141" s="32">
        <v>136086922155</v>
      </c>
      <c r="F141" s="32">
        <f t="shared" si="22"/>
        <v>2501856922155</v>
      </c>
      <c r="G141" s="32">
        <v>1088726193209</v>
      </c>
      <c r="H141" s="8">
        <f t="shared" si="15"/>
        <v>2.2979670533881653</v>
      </c>
      <c r="I141" s="26">
        <v>0.66666999999999998</v>
      </c>
      <c r="J141" s="2">
        <v>3</v>
      </c>
      <c r="K141" s="32">
        <v>247666678448</v>
      </c>
      <c r="L141" s="32">
        <v>1088726193209</v>
      </c>
      <c r="M141" s="32">
        <v>136086922155</v>
      </c>
      <c r="N141" s="32">
        <v>1088726193209</v>
      </c>
      <c r="O141" s="26">
        <f t="shared" si="23"/>
        <v>0.35247944156821787</v>
      </c>
      <c r="P141" s="32">
        <v>136086922155</v>
      </c>
      <c r="Q141" s="32">
        <v>952639271054</v>
      </c>
      <c r="R141" s="8">
        <f t="shared" si="21"/>
        <v>0.14285252171520646</v>
      </c>
      <c r="S141" s="32">
        <v>1088726193209</v>
      </c>
      <c r="T141" s="8">
        <f t="shared" si="24"/>
        <v>27.716029498705513</v>
      </c>
    </row>
    <row r="142" spans="1:20" x14ac:dyDescent="0.35">
      <c r="A142" s="3">
        <v>47</v>
      </c>
      <c r="B142" s="4" t="s">
        <v>94</v>
      </c>
      <c r="C142" s="4">
        <v>2024</v>
      </c>
      <c r="D142" s="33">
        <v>1506560000000</v>
      </c>
      <c r="E142" s="33">
        <v>148194431953</v>
      </c>
      <c r="F142" s="33">
        <f t="shared" si="22"/>
        <v>1654754431953</v>
      </c>
      <c r="G142" s="33">
        <v>1083173624632</v>
      </c>
      <c r="H142" s="9">
        <f t="shared" si="15"/>
        <v>1.5276908468992589</v>
      </c>
      <c r="I142" s="27">
        <v>0.66666999999999998</v>
      </c>
      <c r="J142" s="3">
        <v>3</v>
      </c>
      <c r="K142" s="33">
        <v>150885247394</v>
      </c>
      <c r="L142" s="33">
        <v>1083173624632</v>
      </c>
      <c r="M142" s="33">
        <v>148194431953</v>
      </c>
      <c r="N142" s="33">
        <v>1083173624632</v>
      </c>
      <c r="O142" s="27">
        <f t="shared" si="23"/>
        <v>0.27611425587343863</v>
      </c>
      <c r="P142" s="33">
        <v>148194431953</v>
      </c>
      <c r="Q142" s="33">
        <v>934979192879</v>
      </c>
      <c r="R142" s="9">
        <f t="shared" si="21"/>
        <v>0.15850024586822919</v>
      </c>
      <c r="S142" s="33">
        <v>1083173624632</v>
      </c>
      <c r="T142" s="9">
        <f t="shared" si="24"/>
        <v>27.710916389317568</v>
      </c>
    </row>
    <row r="143" spans="1:20" x14ac:dyDescent="0.35">
      <c r="A143" s="2">
        <v>48</v>
      </c>
      <c r="B143" s="1" t="s">
        <v>95</v>
      </c>
      <c r="C143" s="1">
        <v>2022</v>
      </c>
      <c r="D143" s="32">
        <v>3066524161500</v>
      </c>
      <c r="E143" s="32">
        <v>306410502000</v>
      </c>
      <c r="F143" s="32">
        <f t="shared" si="22"/>
        <v>3372934663500</v>
      </c>
      <c r="G143" s="32">
        <v>1307186367000</v>
      </c>
      <c r="H143" s="8">
        <f t="shared" si="15"/>
        <v>2.5803012857614971</v>
      </c>
      <c r="I143" s="26">
        <v>0.61111000000000004</v>
      </c>
      <c r="J143" s="2">
        <v>3</v>
      </c>
      <c r="K143" s="32">
        <v>748590604000</v>
      </c>
      <c r="L143" s="32">
        <v>1307186367000</v>
      </c>
      <c r="M143" s="32">
        <v>306410502000</v>
      </c>
      <c r="N143" s="32">
        <v>1307186367000</v>
      </c>
      <c r="O143" s="26">
        <f t="shared" si="23"/>
        <v>0.80707780667972651</v>
      </c>
      <c r="P143" s="32">
        <v>306410502000</v>
      </c>
      <c r="Q143" s="32">
        <v>1000775865000</v>
      </c>
      <c r="R143" s="8">
        <f t="shared" si="21"/>
        <v>0.30617295312172621</v>
      </c>
      <c r="S143" s="32">
        <v>1307186367000</v>
      </c>
      <c r="T143" s="8">
        <f t="shared" si="24"/>
        <v>27.898898131836198</v>
      </c>
    </row>
    <row r="144" spans="1:20" x14ac:dyDescent="0.35">
      <c r="A144" s="2">
        <v>48</v>
      </c>
      <c r="B144" s="1" t="s">
        <v>95</v>
      </c>
      <c r="C144" s="1">
        <v>2023</v>
      </c>
      <c r="D144" s="32">
        <v>2826326446500</v>
      </c>
      <c r="E144" s="32">
        <v>273635750000</v>
      </c>
      <c r="F144" s="32">
        <f t="shared" si="22"/>
        <v>3099962196500</v>
      </c>
      <c r="G144" s="32">
        <v>1208050010000</v>
      </c>
      <c r="H144" s="8">
        <f t="shared" si="15"/>
        <v>2.5660876377957234</v>
      </c>
      <c r="I144" s="26">
        <v>0.61111000000000004</v>
      </c>
      <c r="J144" s="2">
        <v>4</v>
      </c>
      <c r="K144" s="32">
        <v>612103346000</v>
      </c>
      <c r="L144" s="32">
        <v>1208050010000</v>
      </c>
      <c r="M144" s="32">
        <v>273635750000</v>
      </c>
      <c r="N144" s="32">
        <v>1208050010000</v>
      </c>
      <c r="O144" s="26">
        <f t="shared" si="23"/>
        <v>0.73319737483384484</v>
      </c>
      <c r="P144" s="32">
        <v>273635750000</v>
      </c>
      <c r="Q144" s="32">
        <v>934414260000</v>
      </c>
      <c r="R144" s="8">
        <f t="shared" si="21"/>
        <v>0.2928420099239496</v>
      </c>
      <c r="S144" s="32">
        <v>1208050010000</v>
      </c>
      <c r="T144" s="8">
        <f t="shared" si="24"/>
        <v>27.820028613590878</v>
      </c>
    </row>
    <row r="145" spans="1:20" x14ac:dyDescent="0.35">
      <c r="A145" s="3">
        <v>48</v>
      </c>
      <c r="B145" s="4" t="s">
        <v>95</v>
      </c>
      <c r="C145" s="4">
        <v>2024</v>
      </c>
      <c r="D145" s="33">
        <v>1721416957500</v>
      </c>
      <c r="E145" s="33">
        <v>268273068000</v>
      </c>
      <c r="F145" s="33">
        <f t="shared" si="22"/>
        <v>1989690025500</v>
      </c>
      <c r="G145" s="33">
        <v>1118117188000</v>
      </c>
      <c r="H145" s="9">
        <f t="shared" si="15"/>
        <v>1.779500437748391</v>
      </c>
      <c r="I145" s="27">
        <v>0.61111000000000004</v>
      </c>
      <c r="J145" s="3">
        <v>3</v>
      </c>
      <c r="K145" s="33">
        <v>563015837000</v>
      </c>
      <c r="L145" s="33">
        <v>1118117188000</v>
      </c>
      <c r="M145" s="33">
        <v>268273068000</v>
      </c>
      <c r="N145" s="33">
        <v>1118117188000</v>
      </c>
      <c r="O145" s="27">
        <f t="shared" si="23"/>
        <v>0.74347207423485207</v>
      </c>
      <c r="P145" s="33">
        <v>269273068000</v>
      </c>
      <c r="Q145" s="33">
        <v>849904120000</v>
      </c>
      <c r="R145" s="9">
        <f t="shared" si="21"/>
        <v>0.31682758285722867</v>
      </c>
      <c r="S145" s="33">
        <v>1118117188000</v>
      </c>
      <c r="T145" s="9">
        <f t="shared" si="24"/>
        <v>27.74266730448851</v>
      </c>
    </row>
    <row r="146" spans="1:20" x14ac:dyDescent="0.35">
      <c r="A146" s="2">
        <v>49</v>
      </c>
      <c r="B146" s="1" t="s">
        <v>162</v>
      </c>
      <c r="C146" s="1">
        <v>2022</v>
      </c>
      <c r="D146" s="32">
        <v>19371398263875</v>
      </c>
      <c r="E146" s="32">
        <v>3975927432106</v>
      </c>
      <c r="F146" s="32">
        <f t="shared" si="22"/>
        <v>23347325695981</v>
      </c>
      <c r="G146" s="32">
        <v>7327371934290</v>
      </c>
      <c r="H146" s="8">
        <f t="shared" si="15"/>
        <v>3.1863164454259798</v>
      </c>
      <c r="I146" s="26">
        <v>0.66666999999999998</v>
      </c>
      <c r="J146" s="2">
        <v>3</v>
      </c>
      <c r="K146" s="32">
        <v>1073175070556</v>
      </c>
      <c r="L146" s="32">
        <v>7327371934290</v>
      </c>
      <c r="M146" s="32">
        <v>3975927432106</v>
      </c>
      <c r="N146" s="32">
        <v>7327371934290</v>
      </c>
      <c r="O146" s="26">
        <f t="shared" si="23"/>
        <v>0.68907413844159426</v>
      </c>
      <c r="P146" s="32">
        <v>3975927432106</v>
      </c>
      <c r="Q146" s="32">
        <v>3351444502184</v>
      </c>
      <c r="R146" s="8">
        <f t="shared" si="21"/>
        <v>1.1863324693322685</v>
      </c>
      <c r="S146" s="32">
        <v>7327371934290</v>
      </c>
      <c r="T146" s="8">
        <f t="shared" si="24"/>
        <v>29.622638031970332</v>
      </c>
    </row>
    <row r="147" spans="1:20" x14ac:dyDescent="0.35">
      <c r="A147" s="2">
        <v>49</v>
      </c>
      <c r="B147" s="1" t="s">
        <v>162</v>
      </c>
      <c r="C147" s="1">
        <v>2023</v>
      </c>
      <c r="D147" s="32">
        <v>15866097625650</v>
      </c>
      <c r="E147" s="32">
        <v>3518496516469</v>
      </c>
      <c r="F147" s="32">
        <f t="shared" si="22"/>
        <v>19384594142119</v>
      </c>
      <c r="G147" s="32">
        <v>7427707902688</v>
      </c>
      <c r="H147" s="8">
        <f t="shared" si="15"/>
        <v>2.6097679655797914</v>
      </c>
      <c r="I147" s="26">
        <v>0.66666999999999998</v>
      </c>
      <c r="J147" s="2">
        <v>3</v>
      </c>
      <c r="K147" s="32">
        <v>1116570091988</v>
      </c>
      <c r="L147" s="32">
        <v>7427707902688</v>
      </c>
      <c r="M147" s="32">
        <v>3518496516469</v>
      </c>
      <c r="N147" s="32">
        <v>7427707902688</v>
      </c>
      <c r="O147" s="26">
        <f t="shared" si="23"/>
        <v>0.62402381315770694</v>
      </c>
      <c r="P147" s="32">
        <v>3518496516469</v>
      </c>
      <c r="Q147" s="32">
        <v>3909211386219</v>
      </c>
      <c r="R147" s="8">
        <f t="shared" si="21"/>
        <v>0.90005276482940455</v>
      </c>
      <c r="S147" s="32">
        <v>7427707902688</v>
      </c>
      <c r="T147" s="8">
        <f t="shared" si="24"/>
        <v>29.636238434828897</v>
      </c>
    </row>
    <row r="148" spans="1:20" x14ac:dyDescent="0.35">
      <c r="A148" s="3">
        <v>49</v>
      </c>
      <c r="B148" s="4" t="s">
        <v>162</v>
      </c>
      <c r="C148" s="4">
        <v>2024</v>
      </c>
      <c r="D148" s="33">
        <v>15201935399460</v>
      </c>
      <c r="E148" s="33">
        <v>4425889971924</v>
      </c>
      <c r="F148" s="33">
        <f t="shared" si="22"/>
        <v>19627825371384</v>
      </c>
      <c r="G148" s="33">
        <v>8431726766692</v>
      </c>
      <c r="H148" s="9">
        <f t="shared" si="15"/>
        <v>2.3278535837902323</v>
      </c>
      <c r="I148" s="27">
        <v>0.72221999999999997</v>
      </c>
      <c r="J148" s="3">
        <v>3</v>
      </c>
      <c r="K148" s="33">
        <v>921535997879</v>
      </c>
      <c r="L148" s="33">
        <v>8431726766692</v>
      </c>
      <c r="M148" s="33">
        <v>4425889971924</v>
      </c>
      <c r="N148" s="33">
        <v>8431726766692</v>
      </c>
      <c r="O148" s="27">
        <f t="shared" si="23"/>
        <v>0.63420294771968089</v>
      </c>
      <c r="P148" s="33">
        <v>4425889971924</v>
      </c>
      <c r="Q148" s="33">
        <v>4005836794768</v>
      </c>
      <c r="R148" s="9">
        <f t="shared" si="21"/>
        <v>1.1048602823022218</v>
      </c>
      <c r="S148" s="33">
        <v>8431726766692</v>
      </c>
      <c r="T148" s="9">
        <f t="shared" si="24"/>
        <v>29.763022702872828</v>
      </c>
    </row>
    <row r="149" spans="1:20" x14ac:dyDescent="0.35">
      <c r="A149" s="2">
        <v>50</v>
      </c>
      <c r="B149" s="1" t="s">
        <v>163</v>
      </c>
      <c r="C149" s="1">
        <v>2022</v>
      </c>
      <c r="D149" s="32">
        <v>116619080000000</v>
      </c>
      <c r="E149" s="32">
        <v>57832529000000</v>
      </c>
      <c r="F149" s="32">
        <f>D149+E149</f>
        <v>174451609000000</v>
      </c>
      <c r="G149" s="32">
        <v>115305536000000</v>
      </c>
      <c r="H149" s="8">
        <f t="shared" si="15"/>
        <v>1.5129508525939293</v>
      </c>
      <c r="I149" s="26">
        <v>0.77778000000000003</v>
      </c>
      <c r="J149" s="2">
        <v>3</v>
      </c>
      <c r="K149" s="32">
        <v>15741068000000</v>
      </c>
      <c r="L149" s="32">
        <v>115305536000000</v>
      </c>
      <c r="M149" s="32">
        <v>57832529000000</v>
      </c>
      <c r="N149" s="32">
        <v>115305536000000</v>
      </c>
      <c r="O149" s="26">
        <f t="shared" si="23"/>
        <v>0.63807514844733904</v>
      </c>
      <c r="P149" s="32">
        <v>57832529000000</v>
      </c>
      <c r="Q149" s="32">
        <v>57473007000000</v>
      </c>
      <c r="R149" s="8">
        <f t="shared" si="21"/>
        <v>1.0062554931221885</v>
      </c>
      <c r="S149" s="32">
        <v>115305536000000</v>
      </c>
      <c r="T149" s="8">
        <f t="shared" si="24"/>
        <v>32.378606555927774</v>
      </c>
    </row>
    <row r="150" spans="1:20" x14ac:dyDescent="0.35">
      <c r="A150" s="2">
        <v>50</v>
      </c>
      <c r="B150" s="1" t="s">
        <v>163</v>
      </c>
      <c r="C150" s="1">
        <v>2023</v>
      </c>
      <c r="D150" s="32">
        <v>123324677100000</v>
      </c>
      <c r="E150" s="32">
        <v>57163043000000</v>
      </c>
      <c r="F150" s="32">
        <f t="shared" ref="F150:F151" si="25">D150+E150</f>
        <v>180487720100000</v>
      </c>
      <c r="G150" s="32">
        <v>119267076000000</v>
      </c>
      <c r="H150" s="8">
        <f t="shared" si="15"/>
        <v>1.5133071603096901</v>
      </c>
      <c r="I150" s="26">
        <v>0.77778000000000003</v>
      </c>
      <c r="J150" s="2">
        <v>4</v>
      </c>
      <c r="K150" s="32">
        <v>19353416000000</v>
      </c>
      <c r="L150" s="32">
        <v>119267076000000</v>
      </c>
      <c r="M150" s="32">
        <v>57163043000000</v>
      </c>
      <c r="N150" s="32">
        <v>119267067000000</v>
      </c>
      <c r="O150" s="26">
        <f t="shared" si="23"/>
        <v>0.64155562356181661</v>
      </c>
      <c r="P150" s="32">
        <v>57163043000000</v>
      </c>
      <c r="Q150" s="32">
        <v>62104033000000</v>
      </c>
      <c r="R150" s="8">
        <f t="shared" si="21"/>
        <v>0.92044011054805408</v>
      </c>
      <c r="S150" s="32">
        <v>119267067000000</v>
      </c>
      <c r="T150" s="8">
        <f t="shared" si="24"/>
        <v>32.412386354953235</v>
      </c>
    </row>
    <row r="151" spans="1:20" x14ac:dyDescent="0.35">
      <c r="A151" s="3">
        <v>50</v>
      </c>
      <c r="B151" s="4" t="s">
        <v>163</v>
      </c>
      <c r="C151" s="4">
        <v>2024</v>
      </c>
      <c r="D151" s="33">
        <v>132654203500000</v>
      </c>
      <c r="E151" s="33">
        <v>58997020000000</v>
      </c>
      <c r="F151" s="33">
        <f t="shared" si="25"/>
        <v>191651223500000</v>
      </c>
      <c r="G151" s="33">
        <v>126040905000000</v>
      </c>
      <c r="H151" s="9">
        <f t="shared" si="15"/>
        <v>1.5205478213600576</v>
      </c>
      <c r="I151" s="27">
        <v>0.77778000000000003</v>
      </c>
      <c r="J151" s="3">
        <v>4</v>
      </c>
      <c r="K151" s="33">
        <v>25292640000000</v>
      </c>
      <c r="L151" s="33">
        <v>126040905000000</v>
      </c>
      <c r="M151" s="33">
        <v>58977020000000</v>
      </c>
      <c r="N151" s="33">
        <v>126040905000000</v>
      </c>
      <c r="O151" s="27">
        <f t="shared" si="23"/>
        <v>0.66858977250282359</v>
      </c>
      <c r="P151" s="33">
        <v>58977020000000</v>
      </c>
      <c r="Q151" s="33">
        <v>67043885000000</v>
      </c>
      <c r="R151" s="9">
        <f t="shared" si="21"/>
        <v>0.87967784086497969</v>
      </c>
      <c r="S151" s="33">
        <v>126040905000000</v>
      </c>
      <c r="T151" s="9">
        <f t="shared" si="24"/>
        <v>32.46762761305208</v>
      </c>
    </row>
    <row r="152" spans="1:20" x14ac:dyDescent="0.35">
      <c r="A152" s="2">
        <v>51</v>
      </c>
      <c r="B152" s="1" t="s">
        <v>167</v>
      </c>
      <c r="C152" s="1">
        <v>2022</v>
      </c>
      <c r="D152" s="32">
        <v>59045500000000</v>
      </c>
      <c r="E152" s="32">
        <v>86810262000000</v>
      </c>
      <c r="F152" s="34">
        <f>E152</f>
        <v>86810262000000</v>
      </c>
      <c r="G152" s="32">
        <v>180433300000000</v>
      </c>
      <c r="H152" s="31">
        <f t="shared" si="15"/>
        <v>0.48112106800684795</v>
      </c>
      <c r="I152" s="26">
        <v>0.83333000000000002</v>
      </c>
      <c r="J152" s="2">
        <v>3</v>
      </c>
      <c r="K152" s="32">
        <v>25945916000000</v>
      </c>
      <c r="L152" s="32">
        <v>180433300000000</v>
      </c>
      <c r="M152" s="32">
        <v>86810262000000</v>
      </c>
      <c r="N152" s="32">
        <v>180433300000000</v>
      </c>
      <c r="O152" s="26">
        <f t="shared" si="23"/>
        <v>0.62491889246608023</v>
      </c>
      <c r="P152" s="32">
        <v>86810262000000</v>
      </c>
      <c r="Q152" s="32">
        <v>93623038000000</v>
      </c>
      <c r="R152" s="8">
        <f t="shared" si="21"/>
        <v>0.92723184223096888</v>
      </c>
      <c r="S152" s="32">
        <v>180433300000000</v>
      </c>
      <c r="T152" s="8">
        <f t="shared" si="24"/>
        <v>32.826382296322912</v>
      </c>
    </row>
    <row r="153" spans="1:20" x14ac:dyDescent="0.35">
      <c r="A153" s="2">
        <v>51</v>
      </c>
      <c r="B153" s="1" t="s">
        <v>167</v>
      </c>
      <c r="C153" s="1">
        <v>2023</v>
      </c>
      <c r="D153" s="32">
        <v>56631000000000</v>
      </c>
      <c r="E153" s="32">
        <v>86123066000000</v>
      </c>
      <c r="F153" s="32">
        <f t="shared" ref="F153:F154" si="26">E153</f>
        <v>86123066000000</v>
      </c>
      <c r="G153" s="32">
        <v>186587957000000</v>
      </c>
      <c r="H153" s="8">
        <f t="shared" si="15"/>
        <v>0.46156819220653134</v>
      </c>
      <c r="I153" s="26">
        <v>0.83333000000000002</v>
      </c>
      <c r="J153" s="2">
        <v>3</v>
      </c>
      <c r="K153" s="32">
        <v>28575968000000</v>
      </c>
      <c r="L153" s="32">
        <v>186587957000000</v>
      </c>
      <c r="M153" s="32">
        <v>86123066000000</v>
      </c>
      <c r="N153" s="32">
        <v>186587957000000</v>
      </c>
      <c r="O153" s="26">
        <f t="shared" si="23"/>
        <v>0.61471831217917239</v>
      </c>
      <c r="P153" s="32">
        <v>86123066000000</v>
      </c>
      <c r="Q153" s="32">
        <v>100464891000000</v>
      </c>
      <c r="R153" s="8">
        <f t="shared" si="21"/>
        <v>0.8572454032722735</v>
      </c>
      <c r="S153" s="32">
        <v>186587957000000</v>
      </c>
      <c r="T153" s="8">
        <f t="shared" si="24"/>
        <v>32.859923863137936</v>
      </c>
    </row>
    <row r="154" spans="1:20" x14ac:dyDescent="0.35">
      <c r="A154" s="3">
        <v>51</v>
      </c>
      <c r="B154" s="4" t="s">
        <v>167</v>
      </c>
      <c r="C154" s="4">
        <v>2024</v>
      </c>
      <c r="D154" s="33">
        <v>67606000000000</v>
      </c>
      <c r="E154" s="33">
        <v>92722030000000</v>
      </c>
      <c r="F154" s="33">
        <f t="shared" si="26"/>
        <v>92722030000000</v>
      </c>
      <c r="G154" s="33">
        <v>201713313000000</v>
      </c>
      <c r="H154" s="9">
        <f t="shared" si="15"/>
        <v>0.45967233704599358</v>
      </c>
      <c r="I154" s="27">
        <v>0.83333000000000002</v>
      </c>
      <c r="J154" s="3">
        <v>2</v>
      </c>
      <c r="K154" s="33">
        <v>38710056000000</v>
      </c>
      <c r="L154" s="33">
        <v>201713313000000</v>
      </c>
      <c r="M154" s="33">
        <v>92722030000000</v>
      </c>
      <c r="N154" s="33">
        <v>201713313000000</v>
      </c>
      <c r="O154" s="27">
        <f t="shared" si="23"/>
        <v>0.65157863923438708</v>
      </c>
      <c r="P154" s="33">
        <v>92722030000000</v>
      </c>
      <c r="Q154" s="33">
        <v>108991283000000</v>
      </c>
      <c r="R154" s="9">
        <f t="shared" si="21"/>
        <v>0.85072886058236419</v>
      </c>
      <c r="S154" s="33">
        <v>201713313000000</v>
      </c>
      <c r="T154" s="9">
        <f t="shared" si="24"/>
        <v>32.937868562676833</v>
      </c>
    </row>
    <row r="155" spans="1:20" x14ac:dyDescent="0.35">
      <c r="A155" s="2">
        <v>52</v>
      </c>
      <c r="B155" s="1" t="s">
        <v>96</v>
      </c>
      <c r="C155" s="1">
        <v>2022</v>
      </c>
      <c r="D155" s="32">
        <v>19295906000000</v>
      </c>
      <c r="E155" s="32">
        <v>2301227000000</v>
      </c>
      <c r="F155" s="32">
        <f t="shared" si="22"/>
        <v>21597133000000</v>
      </c>
      <c r="G155" s="32">
        <v>3374502000000</v>
      </c>
      <c r="H155" s="8">
        <f t="shared" si="15"/>
        <v>6.400094888075337</v>
      </c>
      <c r="I155" s="26">
        <v>0.72221999999999997</v>
      </c>
      <c r="J155" s="2">
        <v>3</v>
      </c>
      <c r="K155" s="32">
        <v>842329000000</v>
      </c>
      <c r="L155" s="32">
        <v>3374502000000</v>
      </c>
      <c r="M155" s="32">
        <v>2301227000000</v>
      </c>
      <c r="N155" s="32">
        <v>3374502000000</v>
      </c>
      <c r="O155" s="26">
        <f t="shared" si="23"/>
        <v>0.93156145706833193</v>
      </c>
      <c r="P155" s="32">
        <v>2301277000000</v>
      </c>
      <c r="Q155" s="32">
        <v>1073275000000</v>
      </c>
      <c r="R155" s="8">
        <f t="shared" si="21"/>
        <v>2.1441634250308637</v>
      </c>
      <c r="S155" s="32">
        <v>3374502000000</v>
      </c>
      <c r="T155" s="8">
        <f t="shared" si="24"/>
        <v>28.847268873810094</v>
      </c>
    </row>
    <row r="156" spans="1:20" x14ac:dyDescent="0.35">
      <c r="A156" s="2">
        <v>52</v>
      </c>
      <c r="B156" s="1" t="s">
        <v>96</v>
      </c>
      <c r="C156" s="1">
        <v>2023</v>
      </c>
      <c r="D156" s="32">
        <v>16891117000000</v>
      </c>
      <c r="E156" s="32">
        <v>2015987000000</v>
      </c>
      <c r="F156" s="32">
        <f t="shared" si="22"/>
        <v>18907104000000</v>
      </c>
      <c r="G156" s="32">
        <v>3407442000000</v>
      </c>
      <c r="H156" s="8">
        <f t="shared" si="15"/>
        <v>5.5487676679456319</v>
      </c>
      <c r="I156" s="26">
        <v>0.66666999999999998</v>
      </c>
      <c r="J156" s="2">
        <v>3</v>
      </c>
      <c r="K156" s="32">
        <v>798000000000</v>
      </c>
      <c r="L156" s="32">
        <v>3407442000000</v>
      </c>
      <c r="M156" s="32">
        <v>2015987000000</v>
      </c>
      <c r="N156" s="32">
        <v>3407442000000</v>
      </c>
      <c r="O156" s="26">
        <f t="shared" si="23"/>
        <v>0.82583562684265788</v>
      </c>
      <c r="P156" s="32">
        <v>2015987000000</v>
      </c>
      <c r="Q156" s="32">
        <v>1391455000000</v>
      </c>
      <c r="R156" s="8">
        <f t="shared" si="21"/>
        <v>1.4488337747178313</v>
      </c>
      <c r="S156" s="32">
        <v>3407442000000</v>
      </c>
      <c r="T156" s="8">
        <f t="shared" si="24"/>
        <v>28.85698297909564</v>
      </c>
    </row>
    <row r="157" spans="1:20" x14ac:dyDescent="0.35">
      <c r="A157" s="3">
        <v>52</v>
      </c>
      <c r="B157" s="4" t="s">
        <v>96</v>
      </c>
      <c r="C157" s="4">
        <v>2024</v>
      </c>
      <c r="D157" s="33">
        <v>13290956000000</v>
      </c>
      <c r="E157" s="33">
        <v>2124203000000</v>
      </c>
      <c r="F157" s="33">
        <f t="shared" si="22"/>
        <v>15415159000000</v>
      </c>
      <c r="G157" s="33">
        <v>3441008000000</v>
      </c>
      <c r="H157" s="9">
        <f t="shared" si="15"/>
        <v>4.4798381753253702</v>
      </c>
      <c r="I157" s="27">
        <v>0.66666999999999998</v>
      </c>
      <c r="J157" s="3">
        <v>3</v>
      </c>
      <c r="K157" s="33">
        <v>1055927000000</v>
      </c>
      <c r="L157" s="33">
        <v>3441008000000</v>
      </c>
      <c r="M157" s="33">
        <v>2124203000000</v>
      </c>
      <c r="N157" s="33">
        <v>3441008000000</v>
      </c>
      <c r="O157" s="27">
        <f t="shared" si="23"/>
        <v>0.9241855874790178</v>
      </c>
      <c r="P157" s="33">
        <v>2124203000000</v>
      </c>
      <c r="Q157" s="33">
        <v>1316885000000</v>
      </c>
      <c r="R157" s="9">
        <f t="shared" si="21"/>
        <v>1.613051253526314</v>
      </c>
      <c r="S157" s="33">
        <v>3441008000000</v>
      </c>
      <c r="T157" s="9">
        <f t="shared" si="24"/>
        <v>28.86678556764674</v>
      </c>
    </row>
    <row r="158" spans="1:20" x14ac:dyDescent="0.35">
      <c r="A158" s="2">
        <v>53</v>
      </c>
      <c r="B158" s="1" t="s">
        <v>97</v>
      </c>
      <c r="C158" s="1">
        <v>2022</v>
      </c>
      <c r="D158" s="32">
        <v>55896749312500</v>
      </c>
      <c r="E158" s="32">
        <v>9441466604896</v>
      </c>
      <c r="F158" s="32">
        <f t="shared" si="22"/>
        <v>65338215917396</v>
      </c>
      <c r="G158" s="32">
        <v>22276160695411</v>
      </c>
      <c r="H158" s="8">
        <f t="shared" si="15"/>
        <v>2.933100403197217</v>
      </c>
      <c r="I158" s="26">
        <v>0.61111000000000004</v>
      </c>
      <c r="J158" s="2">
        <v>3</v>
      </c>
      <c r="K158" s="32">
        <v>3262074784511</v>
      </c>
      <c r="L158" s="32">
        <v>22276160695411</v>
      </c>
      <c r="M158" s="32">
        <v>9441466604896</v>
      </c>
      <c r="N158" s="32">
        <v>22276160695411</v>
      </c>
      <c r="O158" s="26">
        <f t="shared" si="23"/>
        <v>0.57027517277804485</v>
      </c>
      <c r="P158" s="32">
        <v>9441466604896</v>
      </c>
      <c r="Q158" s="32">
        <v>12834694090515</v>
      </c>
      <c r="R158" s="8">
        <f t="shared" si="21"/>
        <v>0.73562069639613481</v>
      </c>
      <c r="S158" s="32">
        <v>22276160695411</v>
      </c>
      <c r="T158" s="8">
        <f t="shared" si="24"/>
        <v>30.734538195465962</v>
      </c>
    </row>
    <row r="159" spans="1:20" x14ac:dyDescent="0.35">
      <c r="A159" s="2">
        <v>53</v>
      </c>
      <c r="B159" s="1" t="s">
        <v>97</v>
      </c>
      <c r="C159" s="1">
        <v>2023</v>
      </c>
      <c r="D159" s="32">
        <v>55673162315250</v>
      </c>
      <c r="E159" s="32">
        <v>8588315775736</v>
      </c>
      <c r="F159" s="32">
        <f t="shared" si="22"/>
        <v>64261478090986</v>
      </c>
      <c r="G159" s="32">
        <v>23870404962472</v>
      </c>
      <c r="H159" s="8">
        <f t="shared" si="15"/>
        <v>2.6920983616329539</v>
      </c>
      <c r="I159" s="26">
        <v>0.66666999999999998</v>
      </c>
      <c r="J159" s="2">
        <v>3</v>
      </c>
      <c r="K159" s="32">
        <v>4156738667354</v>
      </c>
      <c r="L159" s="32">
        <v>23870404962472</v>
      </c>
      <c r="M159" s="32">
        <v>8558315775736</v>
      </c>
      <c r="N159" s="32">
        <v>23870404962472</v>
      </c>
      <c r="O159" s="26">
        <f t="shared" si="23"/>
        <v>0.53267024430796417</v>
      </c>
      <c r="P159" s="32">
        <v>8558315775736</v>
      </c>
      <c r="Q159" s="32">
        <v>15282089186736</v>
      </c>
      <c r="R159" s="8">
        <f t="shared" si="21"/>
        <v>0.56002262983546391</v>
      </c>
      <c r="S159" s="32">
        <v>23870404962472</v>
      </c>
      <c r="T159" s="8">
        <f t="shared" si="24"/>
        <v>30.803660521467258</v>
      </c>
    </row>
    <row r="160" spans="1:20" x14ac:dyDescent="0.35">
      <c r="A160" s="3">
        <v>53</v>
      </c>
      <c r="B160" s="4" t="s">
        <v>97</v>
      </c>
      <c r="C160" s="4">
        <v>2024</v>
      </c>
      <c r="D160" s="33">
        <v>62157185235500</v>
      </c>
      <c r="E160" s="33">
        <v>12626353599187</v>
      </c>
      <c r="F160" s="33">
        <f t="shared" si="22"/>
        <v>74783538834687</v>
      </c>
      <c r="G160" s="33">
        <v>29728781933757</v>
      </c>
      <c r="H160" s="9">
        <f t="shared" si="15"/>
        <v>2.5155265022738913</v>
      </c>
      <c r="I160" s="27">
        <v>0.77778000000000003</v>
      </c>
      <c r="J160" s="3">
        <v>2</v>
      </c>
      <c r="K160" s="33">
        <v>4601449023397</v>
      </c>
      <c r="L160" s="33">
        <v>29728781933757</v>
      </c>
      <c r="M160" s="33">
        <v>12626353599187</v>
      </c>
      <c r="N160" s="33">
        <v>29728781933757</v>
      </c>
      <c r="O160" s="27">
        <f t="shared" si="23"/>
        <v>0.57949910833789819</v>
      </c>
      <c r="P160" s="33">
        <v>12626353599187</v>
      </c>
      <c r="Q160" s="33">
        <v>17102428334570</v>
      </c>
      <c r="R160" s="9">
        <f t="shared" si="21"/>
        <v>0.73827841007026562</v>
      </c>
      <c r="S160" s="33">
        <v>29782781933757</v>
      </c>
      <c r="T160" s="9">
        <f t="shared" si="24"/>
        <v>31.024951554998591</v>
      </c>
    </row>
    <row r="161" spans="1:20" x14ac:dyDescent="0.35">
      <c r="A161" s="2">
        <v>54</v>
      </c>
      <c r="B161" s="1" t="s">
        <v>98</v>
      </c>
      <c r="C161" s="1">
        <v>2022</v>
      </c>
      <c r="D161" s="32">
        <v>119520000000</v>
      </c>
      <c r="E161" s="32">
        <v>666499450770</v>
      </c>
      <c r="F161" s="32">
        <f t="shared" si="22"/>
        <v>786019450770</v>
      </c>
      <c r="G161" s="32">
        <v>705620167464</v>
      </c>
      <c r="H161" s="8">
        <f t="shared" si="15"/>
        <v>1.1139413058373249</v>
      </c>
      <c r="I161" s="26">
        <v>0.61111000000000004</v>
      </c>
      <c r="J161" s="2">
        <v>3</v>
      </c>
      <c r="K161" s="32">
        <v>27151464306</v>
      </c>
      <c r="L161" s="32">
        <v>705620167464</v>
      </c>
      <c r="M161" s="32">
        <v>666499450770</v>
      </c>
      <c r="N161" s="32">
        <v>705620167464</v>
      </c>
      <c r="O161" s="26">
        <f t="shared" si="23"/>
        <v>0.98303725865571912</v>
      </c>
      <c r="P161" s="32">
        <v>666499450770</v>
      </c>
      <c r="Q161" s="32">
        <v>39120716694</v>
      </c>
      <c r="R161" s="8">
        <f t="shared" si="21"/>
        <v>17.036994899232557</v>
      </c>
      <c r="S161" s="32">
        <v>705620167464</v>
      </c>
      <c r="T161" s="8">
        <f t="shared" si="24"/>
        <v>27.282342923237337</v>
      </c>
    </row>
    <row r="162" spans="1:20" x14ac:dyDescent="0.35">
      <c r="A162" s="2">
        <v>54</v>
      </c>
      <c r="B162" s="1" t="s">
        <v>98</v>
      </c>
      <c r="C162" s="1">
        <v>2023</v>
      </c>
      <c r="D162" s="32">
        <v>129600000000</v>
      </c>
      <c r="E162" s="32">
        <v>85891241704</v>
      </c>
      <c r="F162" s="32">
        <f t="shared" si="22"/>
        <v>215491241704</v>
      </c>
      <c r="G162" s="32">
        <v>151973453634</v>
      </c>
      <c r="H162" s="8">
        <f t="shared" si="15"/>
        <v>1.4179531790003987</v>
      </c>
      <c r="I162" s="26">
        <v>0.61111000000000004</v>
      </c>
      <c r="J162" s="2">
        <v>3</v>
      </c>
      <c r="K162" s="32">
        <v>3668460928</v>
      </c>
      <c r="L162" s="32">
        <v>151973453634</v>
      </c>
      <c r="M162" s="32">
        <v>85891241704</v>
      </c>
      <c r="N162" s="32">
        <v>151973453634</v>
      </c>
      <c r="O162" s="26">
        <f t="shared" si="23"/>
        <v>0.58931149151672235</v>
      </c>
      <c r="P162" s="32">
        <v>85891241704</v>
      </c>
      <c r="Q162" s="32">
        <v>66082211930</v>
      </c>
      <c r="R162" s="8">
        <f t="shared" si="21"/>
        <v>1.2997634188604861</v>
      </c>
      <c r="S162" s="32">
        <v>151973453634</v>
      </c>
      <c r="T162" s="8">
        <f t="shared" si="24"/>
        <v>25.746971695395363</v>
      </c>
    </row>
    <row r="163" spans="1:20" x14ac:dyDescent="0.35">
      <c r="A163" s="3">
        <v>54</v>
      </c>
      <c r="B163" s="4" t="s">
        <v>98</v>
      </c>
      <c r="C163" s="4">
        <v>2024</v>
      </c>
      <c r="D163" s="33">
        <v>108000000000</v>
      </c>
      <c r="E163" s="33">
        <v>99867945325</v>
      </c>
      <c r="F163" s="33">
        <f t="shared" si="22"/>
        <v>207867945325</v>
      </c>
      <c r="G163" s="33">
        <v>146364186269</v>
      </c>
      <c r="H163" s="9">
        <f t="shared" si="15"/>
        <v>1.4202104396150803</v>
      </c>
      <c r="I163" s="27">
        <v>0.61111000000000004</v>
      </c>
      <c r="J163" s="3">
        <v>3</v>
      </c>
      <c r="K163" s="33">
        <v>1806897330</v>
      </c>
      <c r="L163" s="33">
        <v>146364186269</v>
      </c>
      <c r="M163" s="33">
        <v>99867945325</v>
      </c>
      <c r="N163" s="33">
        <v>146364186269</v>
      </c>
      <c r="O163" s="27">
        <f t="shared" si="23"/>
        <v>0.69467022805793288</v>
      </c>
      <c r="P163" s="33">
        <v>99867945325</v>
      </c>
      <c r="Q163" s="33">
        <v>46496240944</v>
      </c>
      <c r="R163" s="9">
        <f t="shared" si="21"/>
        <v>2.1478713826625424</v>
      </c>
      <c r="S163" s="33">
        <v>146634186269</v>
      </c>
      <c r="T163" s="9">
        <f t="shared" si="24"/>
        <v>25.711206793408511</v>
      </c>
    </row>
    <row r="164" spans="1:20" x14ac:dyDescent="0.35">
      <c r="A164" s="2">
        <v>55</v>
      </c>
      <c r="B164" s="1" t="s">
        <v>99</v>
      </c>
      <c r="C164" s="1">
        <v>2022</v>
      </c>
      <c r="D164" s="32">
        <v>7528269260160</v>
      </c>
      <c r="E164" s="32">
        <v>1449163077319</v>
      </c>
      <c r="F164" s="32">
        <f t="shared" si="22"/>
        <v>8977432337479</v>
      </c>
      <c r="G164" s="32">
        <v>4130321616083</v>
      </c>
      <c r="H164" s="8">
        <f t="shared" ref="H164:H195" si="27">F164/G164</f>
        <v>2.1735431697429819</v>
      </c>
      <c r="I164" s="26">
        <v>0.72221999999999997</v>
      </c>
      <c r="J164" s="2">
        <v>3</v>
      </c>
      <c r="K164" s="32">
        <v>627450783230</v>
      </c>
      <c r="L164" s="32">
        <v>4130321616083</v>
      </c>
      <c r="M164" s="32">
        <v>1449163077319</v>
      </c>
      <c r="N164" s="32">
        <v>4130321616083</v>
      </c>
      <c r="O164" s="26">
        <f t="shared" si="23"/>
        <v>0.50277292026434528</v>
      </c>
      <c r="P164" s="32">
        <v>1449163077319</v>
      </c>
      <c r="Q164" s="32">
        <v>2681158538764</v>
      </c>
      <c r="R164" s="8">
        <f t="shared" si="21"/>
        <v>0.54049883897841289</v>
      </c>
      <c r="S164" s="32">
        <v>4130321616083</v>
      </c>
      <c r="T164" s="8">
        <f t="shared" si="24"/>
        <v>29.049376393013116</v>
      </c>
    </row>
    <row r="165" spans="1:20" x14ac:dyDescent="0.35">
      <c r="A165" s="2">
        <v>55</v>
      </c>
      <c r="B165" s="1" t="s">
        <v>99</v>
      </c>
      <c r="C165" s="1">
        <v>2023</v>
      </c>
      <c r="D165" s="32">
        <v>6558719431200</v>
      </c>
      <c r="E165" s="32">
        <v>1550086849761</v>
      </c>
      <c r="F165" s="32">
        <f t="shared" si="22"/>
        <v>8108806280961</v>
      </c>
      <c r="G165" s="32">
        <v>3943518425042</v>
      </c>
      <c r="H165" s="8">
        <f t="shared" si="27"/>
        <v>2.0562364383715637</v>
      </c>
      <c r="I165" s="26">
        <v>0.72221999999999997</v>
      </c>
      <c r="J165" s="2">
        <v>3</v>
      </c>
      <c r="K165" s="32">
        <v>537954241879</v>
      </c>
      <c r="L165" s="32">
        <v>3943518425042</v>
      </c>
      <c r="M165" s="32">
        <v>1550086849761</v>
      </c>
      <c r="N165" s="32">
        <v>3943518425042</v>
      </c>
      <c r="O165" s="26">
        <f t="shared" si="23"/>
        <v>0.52948683550724418</v>
      </c>
      <c r="P165" s="32">
        <v>1550086849761</v>
      </c>
      <c r="Q165" s="32">
        <v>2393431575281</v>
      </c>
      <c r="R165" s="8">
        <f t="shared" si="21"/>
        <v>0.64764201566072033</v>
      </c>
      <c r="S165" s="32">
        <v>3943518425042</v>
      </c>
      <c r="T165" s="8">
        <f t="shared" si="24"/>
        <v>29.00309444202966</v>
      </c>
    </row>
    <row r="166" spans="1:20" x14ac:dyDescent="0.35">
      <c r="A166" s="3">
        <v>55</v>
      </c>
      <c r="B166" s="4" t="s">
        <v>99</v>
      </c>
      <c r="C166" s="4">
        <v>2024</v>
      </c>
      <c r="D166" s="33">
        <v>5521802103360</v>
      </c>
      <c r="E166" s="33">
        <v>1438191795263</v>
      </c>
      <c r="F166" s="33">
        <f t="shared" si="22"/>
        <v>6959993898623</v>
      </c>
      <c r="G166" s="33">
        <v>3746346988767</v>
      </c>
      <c r="H166" s="9">
        <f t="shared" si="27"/>
        <v>1.8578081313588299</v>
      </c>
      <c r="I166" s="27">
        <v>0.72221999999999997</v>
      </c>
      <c r="J166" s="3">
        <v>3</v>
      </c>
      <c r="K166" s="33">
        <v>430946384199</v>
      </c>
      <c r="L166" s="33">
        <v>3746346988767</v>
      </c>
      <c r="M166" s="33">
        <v>1438191795263</v>
      </c>
      <c r="N166" s="33">
        <v>3746346988767</v>
      </c>
      <c r="O166" s="27">
        <f t="shared" si="23"/>
        <v>0.49892286674629993</v>
      </c>
      <c r="P166" s="33">
        <v>1438191795263</v>
      </c>
      <c r="Q166" s="33">
        <v>2308155193504</v>
      </c>
      <c r="R166" s="9">
        <f t="shared" si="21"/>
        <v>0.62309146252843051</v>
      </c>
      <c r="S166" s="33">
        <v>3746346988767</v>
      </c>
      <c r="T166" s="9">
        <f t="shared" si="24"/>
        <v>28.951802344802918</v>
      </c>
    </row>
    <row r="167" spans="1:20" x14ac:dyDescent="0.35">
      <c r="A167" s="2">
        <v>56</v>
      </c>
      <c r="B167" s="1" t="s">
        <v>100</v>
      </c>
      <c r="C167" s="1">
        <v>2022</v>
      </c>
      <c r="D167" s="32">
        <v>1346943975000</v>
      </c>
      <c r="E167" s="32">
        <v>442535947408</v>
      </c>
      <c r="F167" s="32">
        <f t="shared" si="22"/>
        <v>1789479922408</v>
      </c>
      <c r="G167" s="32">
        <v>1033289474829</v>
      </c>
      <c r="H167" s="8">
        <f>F167/G167</f>
        <v>1.7318282688441617</v>
      </c>
      <c r="I167" s="26">
        <v>0.72221999999999997</v>
      </c>
      <c r="J167" s="2">
        <v>2</v>
      </c>
      <c r="K167" s="32">
        <v>96960982659</v>
      </c>
      <c r="L167" s="32">
        <v>1033289474829</v>
      </c>
      <c r="M167" s="32">
        <v>442535941408</v>
      </c>
      <c r="N167" s="32">
        <v>1033289474829</v>
      </c>
      <c r="O167" s="26">
        <f t="shared" si="23"/>
        <v>0.52211595802452337</v>
      </c>
      <c r="P167" s="32">
        <v>442535941408</v>
      </c>
      <c r="Q167" s="32">
        <v>590753527421</v>
      </c>
      <c r="R167" s="8">
        <f t="shared" si="21"/>
        <v>0.74910418790039168</v>
      </c>
      <c r="S167" s="32">
        <v>1033289474829</v>
      </c>
      <c r="T167" s="8">
        <f t="shared" si="24"/>
        <v>27.663768494136907</v>
      </c>
    </row>
    <row r="168" spans="1:20" x14ac:dyDescent="0.35">
      <c r="A168" s="2">
        <v>56</v>
      </c>
      <c r="B168" s="1" t="s">
        <v>100</v>
      </c>
      <c r="C168" s="1">
        <v>2023</v>
      </c>
      <c r="D168" s="32">
        <v>1374573595000</v>
      </c>
      <c r="E168" s="32">
        <v>465795522143</v>
      </c>
      <c r="F168" s="32">
        <f t="shared" si="22"/>
        <v>1840369117143</v>
      </c>
      <c r="G168" s="32">
        <v>1282739303035</v>
      </c>
      <c r="H168" s="8">
        <f t="shared" si="27"/>
        <v>1.4347179608425742</v>
      </c>
      <c r="I168" s="26">
        <v>0.72221999999999997</v>
      </c>
      <c r="J168" s="2">
        <v>3</v>
      </c>
      <c r="K168" s="32">
        <v>246959516389</v>
      </c>
      <c r="L168" s="32">
        <v>1282739303035</v>
      </c>
      <c r="M168" s="32">
        <v>465795522143</v>
      </c>
      <c r="N168" s="32">
        <v>1282739303035</v>
      </c>
      <c r="O168" s="26">
        <f t="shared" si="23"/>
        <v>0.55565073654919594</v>
      </c>
      <c r="P168" s="32">
        <v>465795522142</v>
      </c>
      <c r="Q168" s="32">
        <v>816943780892</v>
      </c>
      <c r="R168" s="8">
        <f t="shared" si="21"/>
        <v>0.57016839228938099</v>
      </c>
      <c r="S168" s="32">
        <v>1282739303035</v>
      </c>
      <c r="T168" s="8">
        <f t="shared" si="24"/>
        <v>27.880018987645819</v>
      </c>
    </row>
    <row r="169" spans="1:20" x14ac:dyDescent="0.35">
      <c r="A169" s="3">
        <v>56</v>
      </c>
      <c r="B169" s="4" t="s">
        <v>100</v>
      </c>
      <c r="C169" s="4">
        <v>2024</v>
      </c>
      <c r="D169" s="33">
        <v>1947888210000</v>
      </c>
      <c r="E169" s="33">
        <v>507398668005</v>
      </c>
      <c r="F169" s="33">
        <f t="shared" si="22"/>
        <v>2455286878005</v>
      </c>
      <c r="G169" s="33">
        <v>1552025167907</v>
      </c>
      <c r="H169" s="9">
        <f t="shared" si="27"/>
        <v>1.5819890867595292</v>
      </c>
      <c r="I169" s="27">
        <v>0.72221999999999997</v>
      </c>
      <c r="J169" s="3">
        <v>3</v>
      </c>
      <c r="K169" s="33">
        <v>132582752109</v>
      </c>
      <c r="L169" s="33">
        <v>1552025167907</v>
      </c>
      <c r="M169" s="33">
        <v>507398668005</v>
      </c>
      <c r="N169" s="33">
        <v>1552025167907</v>
      </c>
      <c r="O169" s="27">
        <f t="shared" si="23"/>
        <v>0.41235247555750254</v>
      </c>
      <c r="P169" s="33">
        <v>597398668005</v>
      </c>
      <c r="Q169" s="33">
        <v>914626499902</v>
      </c>
      <c r="R169" s="9">
        <f t="shared" si="21"/>
        <v>0.65316133751756567</v>
      </c>
      <c r="S169" s="33">
        <v>1552025167907</v>
      </c>
      <c r="T169" s="9">
        <f t="shared" si="24"/>
        <v>28.070581753993014</v>
      </c>
    </row>
    <row r="170" spans="1:20" x14ac:dyDescent="0.35">
      <c r="A170" s="2">
        <v>57</v>
      </c>
      <c r="B170" s="1" t="s">
        <v>164</v>
      </c>
      <c r="C170" s="1">
        <v>2022</v>
      </c>
      <c r="D170" s="32">
        <v>15337308420000</v>
      </c>
      <c r="E170" s="32">
        <v>1553696000000</v>
      </c>
      <c r="F170" s="32">
        <f t="shared" si="22"/>
        <v>16891004420000</v>
      </c>
      <c r="G170" s="32">
        <v>7376375000000</v>
      </c>
      <c r="H170" s="8">
        <f t="shared" si="27"/>
        <v>2.2898787575197845</v>
      </c>
      <c r="I170" s="26">
        <v>0.61111000000000004</v>
      </c>
      <c r="J170" s="2">
        <v>3</v>
      </c>
      <c r="K170" s="32">
        <v>1248642000000</v>
      </c>
      <c r="L170" s="32">
        <v>7736375000000</v>
      </c>
      <c r="M170" s="32">
        <v>1533696000000</v>
      </c>
      <c r="N170" s="32">
        <v>7736375000000</v>
      </c>
      <c r="O170" s="26">
        <f t="shared" si="23"/>
        <v>0.35964363154578211</v>
      </c>
      <c r="P170" s="32">
        <v>1533696000000</v>
      </c>
      <c r="Q170" s="32">
        <v>5822679000000</v>
      </c>
      <c r="R170" s="8">
        <f t="shared" si="21"/>
        <v>0.26340040383472968</v>
      </c>
      <c r="S170" s="32">
        <v>7736375000000</v>
      </c>
      <c r="T170" s="8">
        <f t="shared" si="24"/>
        <v>29.676954347568593</v>
      </c>
    </row>
    <row r="171" spans="1:20" x14ac:dyDescent="0.35">
      <c r="A171" s="2">
        <v>57</v>
      </c>
      <c r="B171" s="1" t="s">
        <v>164</v>
      </c>
      <c r="C171" s="1">
        <v>2023</v>
      </c>
      <c r="D171" s="32">
        <v>15337308420000</v>
      </c>
      <c r="E171" s="32">
        <v>836988000000</v>
      </c>
      <c r="F171" s="32">
        <f t="shared" si="22"/>
        <v>16174296420000</v>
      </c>
      <c r="G171" s="32">
        <v>7523956000000</v>
      </c>
      <c r="H171" s="8">
        <f t="shared" si="27"/>
        <v>2.1497064071081757</v>
      </c>
      <c r="I171" s="26">
        <v>0.66666999999999998</v>
      </c>
      <c r="J171" s="2">
        <v>3</v>
      </c>
      <c r="K171" s="32">
        <v>2174324000000</v>
      </c>
      <c r="L171" s="32">
        <v>7523956000000</v>
      </c>
      <c r="M171" s="32">
        <v>836988000000</v>
      </c>
      <c r="N171" s="32">
        <v>7523956000000</v>
      </c>
      <c r="O171" s="26">
        <f t="shared" si="23"/>
        <v>0.40022987906893659</v>
      </c>
      <c r="P171" s="32">
        <v>836988000000</v>
      </c>
      <c r="Q171" s="32">
        <v>6686968000000</v>
      </c>
      <c r="R171" s="8">
        <f t="shared" si="21"/>
        <v>0.12516704132575482</v>
      </c>
      <c r="S171" s="32">
        <v>7523956000000</v>
      </c>
      <c r="T171" s="8">
        <f t="shared" si="24"/>
        <v>29.649113179397016</v>
      </c>
    </row>
    <row r="172" spans="1:20" x14ac:dyDescent="0.35">
      <c r="A172" s="3">
        <v>57</v>
      </c>
      <c r="B172" s="4" t="s">
        <v>164</v>
      </c>
      <c r="C172" s="4">
        <v>2024</v>
      </c>
      <c r="D172" s="33">
        <v>18768706236000</v>
      </c>
      <c r="E172" s="33">
        <v>1034447000000</v>
      </c>
      <c r="F172" s="33">
        <f t="shared" si="22"/>
        <v>19803153236000</v>
      </c>
      <c r="G172" s="33">
        <v>8461365000000</v>
      </c>
      <c r="H172" s="9">
        <f t="shared" si="27"/>
        <v>2.3404206337866289</v>
      </c>
      <c r="I172" s="27">
        <v>0.66666999999999998</v>
      </c>
      <c r="J172" s="3">
        <v>3</v>
      </c>
      <c r="K172" s="33">
        <v>2434322000000</v>
      </c>
      <c r="L172" s="33">
        <v>8461365000000</v>
      </c>
      <c r="M172" s="33">
        <v>1034447000000</v>
      </c>
      <c r="N172" s="33">
        <v>8461365000000</v>
      </c>
      <c r="O172" s="27">
        <f t="shared" si="23"/>
        <v>0.4099538313262695</v>
      </c>
      <c r="P172" s="33">
        <v>1034447000000</v>
      </c>
      <c r="Q172" s="33">
        <v>7426918000000</v>
      </c>
      <c r="R172" s="9">
        <f t="shared" si="21"/>
        <v>0.1392834820581027</v>
      </c>
      <c r="S172" s="33">
        <v>8461365000000</v>
      </c>
      <c r="T172" s="9">
        <f t="shared" si="24"/>
        <v>29.7665316240493</v>
      </c>
    </row>
    <row r="173" spans="1:20" x14ac:dyDescent="0.35">
      <c r="A173" s="2">
        <v>58</v>
      </c>
      <c r="B173" s="1" t="s">
        <v>101</v>
      </c>
      <c r="C173" s="1">
        <v>2022</v>
      </c>
      <c r="D173" s="32">
        <v>34633584000000</v>
      </c>
      <c r="E173" s="32">
        <v>30076651000000</v>
      </c>
      <c r="F173" s="32">
        <f t="shared" si="22"/>
        <v>64710235000000</v>
      </c>
      <c r="G173" s="32">
        <v>88562617000000</v>
      </c>
      <c r="H173" s="8">
        <f t="shared" si="27"/>
        <v>0.73067211868863358</v>
      </c>
      <c r="I173" s="26">
        <v>0.55556000000000005</v>
      </c>
      <c r="J173" s="2">
        <v>3</v>
      </c>
      <c r="K173" s="32">
        <v>4407033000000</v>
      </c>
      <c r="L173" s="32">
        <v>88562617000000</v>
      </c>
      <c r="M173" s="32">
        <v>30076651000000</v>
      </c>
      <c r="N173" s="32">
        <v>88562617000000</v>
      </c>
      <c r="O173" s="26">
        <f t="shared" si="23"/>
        <v>0.38937065285683686</v>
      </c>
      <c r="P173" s="32">
        <v>30076651000000</v>
      </c>
      <c r="Q173" s="32">
        <v>57855966000000</v>
      </c>
      <c r="R173" s="8">
        <f t="shared" si="21"/>
        <v>0.51985392483119197</v>
      </c>
      <c r="S173" s="32">
        <v>88562617000000</v>
      </c>
      <c r="T173" s="8">
        <f t="shared" si="24"/>
        <v>32.114730954479491</v>
      </c>
    </row>
    <row r="174" spans="1:20" x14ac:dyDescent="0.35">
      <c r="A174" s="2">
        <v>58</v>
      </c>
      <c r="B174" s="1" t="s">
        <v>101</v>
      </c>
      <c r="C174" s="1">
        <v>2023</v>
      </c>
      <c r="D174" s="32">
        <v>39107088600000</v>
      </c>
      <c r="E174" s="32">
        <v>31587980000000</v>
      </c>
      <c r="F174" s="32">
        <f t="shared" si="22"/>
        <v>70695068600000</v>
      </c>
      <c r="G174" s="32">
        <v>92450823000000</v>
      </c>
      <c r="H174" s="8">
        <f t="shared" si="27"/>
        <v>0.76467754754330308</v>
      </c>
      <c r="I174" s="26">
        <v>0.61111000000000004</v>
      </c>
      <c r="J174" s="2">
        <v>3</v>
      </c>
      <c r="K174" s="32">
        <v>4256264000000</v>
      </c>
      <c r="L174" s="32">
        <v>92450823000000</v>
      </c>
      <c r="M174" s="32">
        <v>31587980000000</v>
      </c>
      <c r="N174" s="32">
        <v>92450823000000</v>
      </c>
      <c r="O174" s="26">
        <f t="shared" si="23"/>
        <v>0.38771146472108742</v>
      </c>
      <c r="P174" s="32">
        <v>31587980000000</v>
      </c>
      <c r="Q174" s="32">
        <v>60862843000000</v>
      </c>
      <c r="R174" s="8">
        <f t="shared" si="21"/>
        <v>0.5190027025191708</v>
      </c>
      <c r="S174" s="32">
        <v>92450823000000</v>
      </c>
      <c r="T174" s="8">
        <f t="shared" si="24"/>
        <v>32.157697975831304</v>
      </c>
    </row>
    <row r="175" spans="1:20" x14ac:dyDescent="0.35">
      <c r="A175" s="3">
        <v>58</v>
      </c>
      <c r="B175" s="4" t="s">
        <v>101</v>
      </c>
      <c r="C175" s="4">
        <v>2024</v>
      </c>
      <c r="D175" s="33">
        <v>25542268200000</v>
      </c>
      <c r="E175" s="33">
        <v>23022685000000</v>
      </c>
      <c r="F175" s="33">
        <f t="shared" si="22"/>
        <v>48564953200000</v>
      </c>
      <c r="G175" s="33">
        <v>84939276000000</v>
      </c>
      <c r="H175" s="9">
        <f t="shared" si="27"/>
        <v>0.57176085654415043</v>
      </c>
      <c r="I175" s="27">
        <v>0.61111000000000004</v>
      </c>
      <c r="J175" s="3">
        <v>3</v>
      </c>
      <c r="K175" s="33">
        <v>3705754000000</v>
      </c>
      <c r="L175" s="33">
        <v>84939276000000</v>
      </c>
      <c r="M175" s="33">
        <v>23022685000000</v>
      </c>
      <c r="N175" s="33">
        <v>84939276000000</v>
      </c>
      <c r="O175" s="27">
        <f t="shared" si="23"/>
        <v>0.31467702879878562</v>
      </c>
      <c r="P175" s="33">
        <v>23002685000000</v>
      </c>
      <c r="Q175" s="33">
        <v>61916591000000</v>
      </c>
      <c r="R175" s="9">
        <f t="shared" si="21"/>
        <v>0.3715108443228084</v>
      </c>
      <c r="S175" s="33">
        <v>84939276000000</v>
      </c>
      <c r="T175" s="9">
        <f t="shared" si="24"/>
        <v>32.072957717113582</v>
      </c>
    </row>
    <row r="176" spans="1:20" x14ac:dyDescent="0.35">
      <c r="A176" s="2">
        <v>59</v>
      </c>
      <c r="B176" s="1" t="s">
        <v>103</v>
      </c>
      <c r="C176" s="1">
        <v>2022</v>
      </c>
      <c r="D176" s="32">
        <v>96674291000000</v>
      </c>
      <c r="E176" s="32">
        <v>5143984823285</v>
      </c>
      <c r="F176" s="32">
        <f t="shared" si="22"/>
        <v>101818275823285</v>
      </c>
      <c r="G176" s="32">
        <v>27241313025674</v>
      </c>
      <c r="H176" s="8">
        <f t="shared" si="27"/>
        <v>3.7376420045291057</v>
      </c>
      <c r="I176" s="26">
        <v>0.77778000000000003</v>
      </c>
      <c r="J176" s="2">
        <v>4</v>
      </c>
      <c r="K176" s="32">
        <v>3949768854987</v>
      </c>
      <c r="L176" s="32">
        <v>27241313025674</v>
      </c>
      <c r="M176" s="32">
        <v>5143984823285</v>
      </c>
      <c r="N176" s="32">
        <v>27241313025674</v>
      </c>
      <c r="O176" s="26">
        <f>(K176/L176)+(M176/N176)</f>
        <v>0.33382214982447617</v>
      </c>
      <c r="P176" s="32">
        <v>5143984823285</v>
      </c>
      <c r="Q176" s="32">
        <v>22097328202389</v>
      </c>
      <c r="R176" s="8">
        <f t="shared" si="21"/>
        <v>0.23278763731847321</v>
      </c>
      <c r="S176" s="32">
        <v>27241313025674</v>
      </c>
      <c r="T176" s="31">
        <f>LN(S176)</f>
        <v>30.935755798165427</v>
      </c>
    </row>
    <row r="177" spans="1:20" x14ac:dyDescent="0.35">
      <c r="A177" s="2">
        <v>59</v>
      </c>
      <c r="B177" s="1" t="s">
        <v>103</v>
      </c>
      <c r="C177" s="1">
        <v>2023</v>
      </c>
      <c r="D177" s="32">
        <v>74471583000000</v>
      </c>
      <c r="E177" s="32">
        <v>3937546172108</v>
      </c>
      <c r="F177" s="32">
        <f t="shared" si="22"/>
        <v>78409129172108</v>
      </c>
      <c r="G177" s="32">
        <v>27057568182323</v>
      </c>
      <c r="H177" s="8">
        <f t="shared" si="27"/>
        <v>2.8978631281185692</v>
      </c>
      <c r="I177" s="26">
        <v>0.77778000000000003</v>
      </c>
      <c r="J177" s="2">
        <v>5</v>
      </c>
      <c r="K177" s="32">
        <v>3232420596769</v>
      </c>
      <c r="L177" s="32">
        <v>27057568182323</v>
      </c>
      <c r="M177" s="32">
        <v>3937546172108</v>
      </c>
      <c r="N177" s="32">
        <v>27057568182323</v>
      </c>
      <c r="O177" s="26">
        <f t="shared" ref="O177:O199" si="28">(K177/L177)+(M177/N177)</f>
        <v>0.26498932648209</v>
      </c>
      <c r="P177" s="32">
        <v>3937546172108</v>
      </c>
      <c r="Q177" s="32">
        <v>23120022010215</v>
      </c>
      <c r="R177" s="8">
        <f t="shared" si="21"/>
        <v>0.17030892835518471</v>
      </c>
      <c r="S177" s="32">
        <v>27057568182323</v>
      </c>
      <c r="T177" s="8">
        <f t="shared" ref="T177:T196" si="29">LN(S177)</f>
        <v>30.928987867017295</v>
      </c>
    </row>
    <row r="178" spans="1:20" x14ac:dyDescent="0.35">
      <c r="A178" s="3">
        <v>59</v>
      </c>
      <c r="B178" s="4" t="s">
        <v>103</v>
      </c>
      <c r="C178" s="4">
        <v>2024</v>
      </c>
      <c r="D178" s="33">
        <v>63750166000000</v>
      </c>
      <c r="E178" s="33">
        <v>4839294087709</v>
      </c>
      <c r="F178" s="33">
        <f t="shared" si="22"/>
        <v>68589460087709</v>
      </c>
      <c r="G178" s="33">
        <v>29429727898195</v>
      </c>
      <c r="H178" s="9">
        <f t="shared" si="27"/>
        <v>2.3306182213093369</v>
      </c>
      <c r="I178" s="27">
        <v>0.77778000000000003</v>
      </c>
      <c r="J178" s="3">
        <v>4</v>
      </c>
      <c r="K178" s="33">
        <v>4723293839405</v>
      </c>
      <c r="L178" s="33">
        <v>29429727898195</v>
      </c>
      <c r="M178" s="33">
        <v>4839294087709</v>
      </c>
      <c r="N178" s="33">
        <v>29429727898195</v>
      </c>
      <c r="O178" s="27">
        <f>(K178/L178)+(M178/N178)</f>
        <v>0.32492953928060264</v>
      </c>
      <c r="P178" s="33">
        <v>4839294087709</v>
      </c>
      <c r="Q178" s="33">
        <v>24590433810486</v>
      </c>
      <c r="R178" s="9">
        <f t="shared" si="21"/>
        <v>0.19679579974084879</v>
      </c>
      <c r="S178" s="33">
        <v>29429727898195</v>
      </c>
      <c r="T178" s="9">
        <f t="shared" si="29"/>
        <v>31.013026432402171</v>
      </c>
    </row>
    <row r="179" spans="1:20" x14ac:dyDescent="0.35">
      <c r="A179" s="2">
        <v>60</v>
      </c>
      <c r="B179" s="1" t="s">
        <v>104</v>
      </c>
      <c r="C179" s="1">
        <v>2022</v>
      </c>
      <c r="D179" s="32">
        <v>575400000000</v>
      </c>
      <c r="E179" s="32">
        <v>1034464891000</v>
      </c>
      <c r="F179" s="32">
        <f t="shared" si="22"/>
        <v>1609864891000</v>
      </c>
      <c r="G179" s="32">
        <v>1806280965000</v>
      </c>
      <c r="H179" s="8">
        <f t="shared" si="27"/>
        <v>0.89125940105336821</v>
      </c>
      <c r="I179" s="26">
        <v>0.55556000000000005</v>
      </c>
      <c r="J179" s="2">
        <v>3</v>
      </c>
      <c r="K179" s="32">
        <v>147684064000</v>
      </c>
      <c r="L179" s="32">
        <v>1806280965000</v>
      </c>
      <c r="M179" s="32">
        <v>1034464891000</v>
      </c>
      <c r="N179" s="32">
        <v>1806280965000</v>
      </c>
      <c r="O179" s="26">
        <f t="shared" si="28"/>
        <v>0.65446571043281743</v>
      </c>
      <c r="P179" s="32">
        <v>1034464891000</v>
      </c>
      <c r="Q179" s="32">
        <v>771816074000</v>
      </c>
      <c r="R179" s="8">
        <f t="shared" si="21"/>
        <v>1.3402997499634868</v>
      </c>
      <c r="S179" s="32">
        <v>1806280965000</v>
      </c>
      <c r="T179" s="8">
        <f t="shared" si="29"/>
        <v>28.222291131912804</v>
      </c>
    </row>
    <row r="180" spans="1:20" x14ac:dyDescent="0.35">
      <c r="A180" s="2">
        <v>60</v>
      </c>
      <c r="B180" s="1" t="s">
        <v>104</v>
      </c>
      <c r="C180" s="1">
        <v>2023</v>
      </c>
      <c r="D180" s="32">
        <v>575400000000</v>
      </c>
      <c r="E180" s="32">
        <v>1091952149000</v>
      </c>
      <c r="F180" s="32">
        <f t="shared" si="22"/>
        <v>1667352149000</v>
      </c>
      <c r="G180" s="32">
        <v>1765887592000</v>
      </c>
      <c r="H180" s="8">
        <f t="shared" si="27"/>
        <v>0.94420061421440693</v>
      </c>
      <c r="I180" s="26">
        <v>0.55556000000000005</v>
      </c>
      <c r="J180" s="2">
        <v>3</v>
      </c>
      <c r="K180" s="32">
        <v>65836308000</v>
      </c>
      <c r="L180" s="32">
        <v>1765887592000</v>
      </c>
      <c r="M180" s="32">
        <v>1091952149000</v>
      </c>
      <c r="N180" s="32">
        <v>1765887592000</v>
      </c>
      <c r="O180" s="26">
        <f t="shared" si="28"/>
        <v>0.65564108510934027</v>
      </c>
      <c r="P180" s="32">
        <v>1091952149000</v>
      </c>
      <c r="Q180" s="32">
        <v>676756569000</v>
      </c>
      <c r="R180" s="8">
        <f t="shared" si="21"/>
        <v>1.6135080160559181</v>
      </c>
      <c r="S180" s="32">
        <v>1765887592000</v>
      </c>
      <c r="T180" s="8">
        <f t="shared" si="29"/>
        <v>28.199674564895364</v>
      </c>
    </row>
    <row r="181" spans="1:20" x14ac:dyDescent="0.35">
      <c r="A181" s="3">
        <v>60</v>
      </c>
      <c r="B181" s="4" t="s">
        <v>104</v>
      </c>
      <c r="C181" s="4">
        <v>2024</v>
      </c>
      <c r="D181" s="33">
        <v>272160000000</v>
      </c>
      <c r="E181" s="33">
        <v>1036917006000</v>
      </c>
      <c r="F181" s="33">
        <f t="shared" si="22"/>
        <v>1309077006000</v>
      </c>
      <c r="G181" s="33">
        <v>1430039358000</v>
      </c>
      <c r="H181" s="9">
        <f t="shared" si="27"/>
        <v>0.9154132707443986</v>
      </c>
      <c r="I181" s="27">
        <v>0.61111000000000004</v>
      </c>
      <c r="J181" s="3">
        <v>4</v>
      </c>
      <c r="K181" s="33">
        <v>92004255000</v>
      </c>
      <c r="L181" s="33">
        <v>1430039358000</v>
      </c>
      <c r="M181" s="33">
        <v>1036917006000</v>
      </c>
      <c r="N181" s="33">
        <v>1430039358000</v>
      </c>
      <c r="O181" s="27">
        <f t="shared" si="28"/>
        <v>0.7894336996282868</v>
      </c>
      <c r="P181" s="33">
        <v>1036917006000</v>
      </c>
      <c r="Q181" s="33">
        <v>393122351000</v>
      </c>
      <c r="R181" s="9">
        <f t="shared" si="21"/>
        <v>2.6376444976032412</v>
      </c>
      <c r="S181" s="33">
        <v>1430039358000</v>
      </c>
      <c r="T181" s="9">
        <f t="shared" si="29"/>
        <v>27.988723082898534</v>
      </c>
    </row>
    <row r="182" spans="1:20" x14ac:dyDescent="0.35">
      <c r="A182" s="2">
        <v>61</v>
      </c>
      <c r="B182" s="1" t="s">
        <v>105</v>
      </c>
      <c r="C182" s="1">
        <v>2022</v>
      </c>
      <c r="D182" s="32">
        <v>22650000000000</v>
      </c>
      <c r="E182" s="32">
        <v>575967000000</v>
      </c>
      <c r="F182" s="32">
        <f t="shared" si="22"/>
        <v>23225967000000</v>
      </c>
      <c r="G182" s="32">
        <v>4081442000000</v>
      </c>
      <c r="H182" s="8">
        <f t="shared" si="27"/>
        <v>5.6906277242209979</v>
      </c>
      <c r="I182" s="26">
        <v>0.72221999999999997</v>
      </c>
      <c r="J182" s="2">
        <v>5</v>
      </c>
      <c r="K182" s="32">
        <v>923047000000</v>
      </c>
      <c r="L182" s="32">
        <v>4081442000000</v>
      </c>
      <c r="M182" s="32">
        <v>575967000000</v>
      </c>
      <c r="N182" s="32">
        <v>4081442000000</v>
      </c>
      <c r="O182" s="26">
        <f t="shared" si="28"/>
        <v>0.36727558544259598</v>
      </c>
      <c r="P182" s="32">
        <v>575967000000</v>
      </c>
      <c r="Q182" s="32">
        <v>3505475000000</v>
      </c>
      <c r="R182" s="8">
        <f t="shared" si="21"/>
        <v>0.16430498006689537</v>
      </c>
      <c r="S182" s="32">
        <v>4081442000000</v>
      </c>
      <c r="T182" s="8">
        <f t="shared" si="29"/>
        <v>29.037471473275012</v>
      </c>
    </row>
    <row r="183" spans="1:20" x14ac:dyDescent="0.35">
      <c r="A183" s="2">
        <v>61</v>
      </c>
      <c r="B183" s="1" t="s">
        <v>105</v>
      </c>
      <c r="C183" s="1">
        <v>2023</v>
      </c>
      <c r="D183" s="32">
        <v>15750000000000</v>
      </c>
      <c r="E183" s="32">
        <v>504765000000</v>
      </c>
      <c r="F183" s="32">
        <f t="shared" si="22"/>
        <v>16254765000000</v>
      </c>
      <c r="G183" s="32">
        <v>3890706000000</v>
      </c>
      <c r="H183" s="8">
        <f t="shared" si="27"/>
        <v>4.1778445865608971</v>
      </c>
      <c r="I183" s="26">
        <v>0.77778000000000003</v>
      </c>
      <c r="J183" s="2">
        <v>5</v>
      </c>
      <c r="K183" s="32">
        <v>830128000000</v>
      </c>
      <c r="L183" s="32">
        <v>3890706000000</v>
      </c>
      <c r="M183" s="32">
        <v>504765000000</v>
      </c>
      <c r="N183" s="32">
        <v>3890706000000</v>
      </c>
      <c r="O183" s="26">
        <f t="shared" si="28"/>
        <v>0.34309788506250538</v>
      </c>
      <c r="P183" s="32">
        <v>504765000000</v>
      </c>
      <c r="Q183" s="32">
        <v>3385941000000</v>
      </c>
      <c r="R183" s="8">
        <f t="shared" si="21"/>
        <v>0.14907672638123345</v>
      </c>
      <c r="S183" s="32">
        <v>3890706000000</v>
      </c>
      <c r="T183" s="8">
        <f>LN(S183)</f>
        <v>28.989611748093974</v>
      </c>
    </row>
    <row r="184" spans="1:20" x14ac:dyDescent="0.35">
      <c r="A184" s="3">
        <v>61</v>
      </c>
      <c r="B184" s="4" t="s">
        <v>105</v>
      </c>
      <c r="C184" s="4">
        <v>2024</v>
      </c>
      <c r="D184" s="33">
        <v>17700000000000</v>
      </c>
      <c r="E184" s="33">
        <v>451781000000</v>
      </c>
      <c r="F184" s="33">
        <f t="shared" si="22"/>
        <v>18151781000000</v>
      </c>
      <c r="G184" s="33">
        <v>3939625000000</v>
      </c>
      <c r="H184" s="9">
        <f t="shared" si="27"/>
        <v>4.6074895453247455</v>
      </c>
      <c r="I184" s="27">
        <v>0.77778000000000003</v>
      </c>
      <c r="J184" s="3">
        <v>3</v>
      </c>
      <c r="K184" s="33">
        <v>855569000000</v>
      </c>
      <c r="L184" s="33">
        <v>3939625000000</v>
      </c>
      <c r="M184" s="33">
        <v>451781000000</v>
      </c>
      <c r="N184" s="33">
        <v>3939625000000</v>
      </c>
      <c r="O184" s="27">
        <f t="shared" si="28"/>
        <v>0.33184630516863917</v>
      </c>
      <c r="P184" s="33">
        <v>451781000000</v>
      </c>
      <c r="Q184" s="33">
        <v>3487844000000</v>
      </c>
      <c r="R184" s="9">
        <f t="shared" si="21"/>
        <v>0.12953016247286289</v>
      </c>
      <c r="S184" s="33">
        <v>3939625000000</v>
      </c>
      <c r="T184" s="9">
        <f t="shared" si="29"/>
        <v>29.002106657043736</v>
      </c>
    </row>
    <row r="185" spans="1:20" x14ac:dyDescent="0.35">
      <c r="A185" s="2">
        <v>62</v>
      </c>
      <c r="B185" s="1" t="s">
        <v>106</v>
      </c>
      <c r="C185" s="1">
        <v>2022</v>
      </c>
      <c r="D185" s="32">
        <v>2192857252500</v>
      </c>
      <c r="E185" s="32">
        <v>3142551744669</v>
      </c>
      <c r="F185" s="32">
        <f t="shared" si="22"/>
        <v>5335408997169</v>
      </c>
      <c r="G185" s="32">
        <v>4676372045095</v>
      </c>
      <c r="H185" s="8">
        <f t="shared" si="27"/>
        <v>1.1409291103699197</v>
      </c>
      <c r="I185" s="26">
        <v>0.72221999999999997</v>
      </c>
      <c r="J185" s="2">
        <v>3</v>
      </c>
      <c r="K185" s="32">
        <v>194557791747</v>
      </c>
      <c r="L185" s="32">
        <v>4676372045095</v>
      </c>
      <c r="M185" s="32">
        <v>3142551744669</v>
      </c>
      <c r="N185" s="32">
        <v>4676372045095</v>
      </c>
      <c r="O185" s="26">
        <f t="shared" si="28"/>
        <v>0.71361078721618421</v>
      </c>
      <c r="P185" s="32">
        <v>3142551744669</v>
      </c>
      <c r="Q185" s="32">
        <v>1533820300426</v>
      </c>
      <c r="R185" s="8">
        <f t="shared" si="21"/>
        <v>2.048839582965615</v>
      </c>
      <c r="S185" s="32">
        <v>4676372045095</v>
      </c>
      <c r="T185" s="8">
        <f t="shared" si="29"/>
        <v>29.173543721192548</v>
      </c>
    </row>
    <row r="186" spans="1:20" x14ac:dyDescent="0.35">
      <c r="A186" s="2">
        <v>62</v>
      </c>
      <c r="B186" s="1" t="s">
        <v>106</v>
      </c>
      <c r="C186" s="1">
        <v>2023</v>
      </c>
      <c r="D186" s="32">
        <v>1744205908500</v>
      </c>
      <c r="E186" s="32">
        <v>3027648359660</v>
      </c>
      <c r="F186" s="32">
        <f t="shared" si="22"/>
        <v>4771854268160</v>
      </c>
      <c r="G186" s="32">
        <v>4646378817802</v>
      </c>
      <c r="H186" s="8">
        <f t="shared" si="27"/>
        <v>1.0270049979302713</v>
      </c>
      <c r="I186" s="26">
        <v>0.77778000000000003</v>
      </c>
      <c r="J186" s="2">
        <v>3</v>
      </c>
      <c r="K186" s="32">
        <v>166445607635</v>
      </c>
      <c r="L186" s="32">
        <v>4646378817802</v>
      </c>
      <c r="M186" s="32">
        <v>3027648359660</v>
      </c>
      <c r="N186" s="32">
        <v>4646378817802</v>
      </c>
      <c r="O186" s="26">
        <f t="shared" si="28"/>
        <v>0.68743726944028793</v>
      </c>
      <c r="P186" s="32">
        <v>3027648359660</v>
      </c>
      <c r="Q186" s="32">
        <v>1618730458142</v>
      </c>
      <c r="R186" s="8">
        <f t="shared" si="21"/>
        <v>1.8703845006630533</v>
      </c>
      <c r="S186" s="32">
        <v>4646378817802</v>
      </c>
      <c r="T186" s="8">
        <f t="shared" si="29"/>
        <v>29.167109283285619</v>
      </c>
    </row>
    <row r="187" spans="1:20" x14ac:dyDescent="0.35">
      <c r="A187" s="3">
        <v>62</v>
      </c>
      <c r="B187" s="4" t="s">
        <v>106</v>
      </c>
      <c r="C187" s="4">
        <v>2024</v>
      </c>
      <c r="D187" s="33">
        <v>1714285800000</v>
      </c>
      <c r="E187" s="33">
        <v>2851025198999</v>
      </c>
      <c r="F187" s="33">
        <f t="shared" si="22"/>
        <v>4565310998999</v>
      </c>
      <c r="G187" s="33">
        <v>4501385830768</v>
      </c>
      <c r="H187" s="9">
        <f t="shared" si="27"/>
        <v>1.0142012194986834</v>
      </c>
      <c r="I187" s="27">
        <v>0.77778000000000003</v>
      </c>
      <c r="J187" s="3">
        <v>2</v>
      </c>
      <c r="K187" s="33">
        <v>121213419883</v>
      </c>
      <c r="L187" s="33">
        <v>4501385830768</v>
      </c>
      <c r="M187" s="33">
        <v>2851025198999</v>
      </c>
      <c r="N187" s="33">
        <v>4501385830768</v>
      </c>
      <c r="O187" s="27">
        <f t="shared" si="28"/>
        <v>0.66029412510388918</v>
      </c>
      <c r="P187" s="33">
        <v>2851025198999</v>
      </c>
      <c r="Q187" s="33">
        <v>1650360631769</v>
      </c>
      <c r="R187" s="9">
        <f t="shared" si="21"/>
        <v>1.7275164858622587</v>
      </c>
      <c r="S187" s="33">
        <v>4501385830768</v>
      </c>
      <c r="T187" s="9">
        <f>LN(S187)</f>
        <v>29.135406427687027</v>
      </c>
    </row>
    <row r="188" spans="1:20" x14ac:dyDescent="0.35">
      <c r="A188" s="2">
        <v>63</v>
      </c>
      <c r="B188" s="1" t="s">
        <v>108</v>
      </c>
      <c r="C188" s="1">
        <v>2022</v>
      </c>
      <c r="D188" s="32">
        <v>327420000000</v>
      </c>
      <c r="E188" s="32">
        <v>283395035571</v>
      </c>
      <c r="F188" s="32">
        <f t="shared" si="22"/>
        <v>610815035571</v>
      </c>
      <c r="G188" s="32">
        <v>694780597799</v>
      </c>
      <c r="H188" s="8">
        <f t="shared" si="27"/>
        <v>0.87914809006757666</v>
      </c>
      <c r="I188" s="26">
        <v>0.72221999999999997</v>
      </c>
      <c r="J188" s="2">
        <v>3</v>
      </c>
      <c r="K188" s="32">
        <v>177143354144</v>
      </c>
      <c r="L188" s="32">
        <v>694780597799</v>
      </c>
      <c r="M188" s="32">
        <v>283395035571</v>
      </c>
      <c r="N188" s="32">
        <v>694780597799</v>
      </c>
      <c r="O188" s="26">
        <f t="shared" si="28"/>
        <v>0.66285441932883926</v>
      </c>
      <c r="P188" s="32">
        <v>283395035571</v>
      </c>
      <c r="Q188" s="32">
        <v>411385562228</v>
      </c>
      <c r="R188" s="8">
        <f t="shared" si="21"/>
        <v>0.68887939099315176</v>
      </c>
      <c r="S188" s="32">
        <v>694780597799</v>
      </c>
      <c r="T188" s="8">
        <f t="shared" si="29"/>
        <v>27.266861946051549</v>
      </c>
    </row>
    <row r="189" spans="1:20" x14ac:dyDescent="0.35">
      <c r="A189" s="2">
        <v>63</v>
      </c>
      <c r="B189" s="1" t="s">
        <v>108</v>
      </c>
      <c r="C189" s="1">
        <v>2023</v>
      </c>
      <c r="D189" s="32">
        <v>158360000000</v>
      </c>
      <c r="E189" s="32">
        <v>232316210715</v>
      </c>
      <c r="F189" s="32">
        <f t="shared" si="22"/>
        <v>390676210715</v>
      </c>
      <c r="G189" s="32">
        <v>634207335645</v>
      </c>
      <c r="H189" s="8">
        <f t="shared" si="27"/>
        <v>0.61600708279048122</v>
      </c>
      <c r="I189" s="26">
        <v>0.72221999999999997</v>
      </c>
      <c r="J189" s="2">
        <v>2</v>
      </c>
      <c r="K189" s="32">
        <v>122637631147</v>
      </c>
      <c r="L189" s="32">
        <v>634207335645</v>
      </c>
      <c r="M189" s="32">
        <v>232316210715</v>
      </c>
      <c r="N189" s="32">
        <v>634207335645</v>
      </c>
      <c r="O189" s="26">
        <f t="shared" si="28"/>
        <v>0.55968107259592914</v>
      </c>
      <c r="P189" s="32">
        <v>231316210715</v>
      </c>
      <c r="Q189" s="32">
        <v>401891124930</v>
      </c>
      <c r="R189" s="8">
        <f t="shared" si="21"/>
        <v>0.57556934295398998</v>
      </c>
      <c r="S189" s="32">
        <v>634207335645</v>
      </c>
      <c r="T189" s="8">
        <f t="shared" si="29"/>
        <v>27.175641765752921</v>
      </c>
    </row>
    <row r="190" spans="1:20" x14ac:dyDescent="0.35">
      <c r="A190" s="3">
        <v>63</v>
      </c>
      <c r="B190" s="4" t="s">
        <v>108</v>
      </c>
      <c r="C190" s="4">
        <v>2024</v>
      </c>
      <c r="D190" s="33">
        <v>130968000000</v>
      </c>
      <c r="E190" s="33">
        <v>244780362194</v>
      </c>
      <c r="F190" s="33">
        <f t="shared" si="22"/>
        <v>375748362194</v>
      </c>
      <c r="G190" s="33">
        <v>818435708264</v>
      </c>
      <c r="H190" s="9">
        <f t="shared" si="27"/>
        <v>0.45910553315300379</v>
      </c>
      <c r="I190" s="27">
        <v>0.66666999999999998</v>
      </c>
      <c r="J190" s="3">
        <v>3</v>
      </c>
      <c r="K190" s="33">
        <v>119278865202</v>
      </c>
      <c r="L190" s="33">
        <v>818435708264</v>
      </c>
      <c r="M190" s="33">
        <v>244780362194</v>
      </c>
      <c r="N190" s="33">
        <v>818435708264</v>
      </c>
      <c r="O190" s="27">
        <f t="shared" si="28"/>
        <v>0.44482324478267588</v>
      </c>
      <c r="P190" s="33">
        <v>244780362194</v>
      </c>
      <c r="Q190" s="33">
        <v>573655346070</v>
      </c>
      <c r="R190" s="9">
        <f t="shared" si="21"/>
        <v>0.426702834499743</v>
      </c>
      <c r="S190" s="33">
        <v>818435708264</v>
      </c>
      <c r="T190" s="9">
        <f t="shared" si="29"/>
        <v>27.43066068243062</v>
      </c>
    </row>
    <row r="191" spans="1:20" x14ac:dyDescent="0.35">
      <c r="A191" s="2">
        <v>64</v>
      </c>
      <c r="B191" s="1" t="s">
        <v>107</v>
      </c>
      <c r="C191" s="1">
        <v>2022</v>
      </c>
      <c r="D191" s="32">
        <v>179305000000000</v>
      </c>
      <c r="E191" s="32">
        <v>14320858000000</v>
      </c>
      <c r="F191" s="32">
        <f t="shared" si="22"/>
        <v>193625858000000</v>
      </c>
      <c r="G191" s="32">
        <v>18318114000000</v>
      </c>
      <c r="H191" s="8">
        <f t="shared" si="27"/>
        <v>10.57018522758402</v>
      </c>
      <c r="I191" s="26">
        <v>0.72221999999999997</v>
      </c>
      <c r="J191" s="2">
        <v>3</v>
      </c>
      <c r="K191" s="32">
        <v>502882000000</v>
      </c>
      <c r="L191" s="32">
        <v>18318114000000</v>
      </c>
      <c r="M191" s="32">
        <v>14320858000000</v>
      </c>
      <c r="N191" s="32">
        <v>18318114000000</v>
      </c>
      <c r="O191" s="26">
        <f t="shared" si="28"/>
        <v>0.80923942279210626</v>
      </c>
      <c r="P191" s="32">
        <v>14320858000000</v>
      </c>
      <c r="Q191" s="32">
        <v>3997256000000</v>
      </c>
      <c r="R191" s="8">
        <f t="shared" si="21"/>
        <v>3.5826722131382129</v>
      </c>
      <c r="S191" s="32">
        <v>18318114000000</v>
      </c>
      <c r="T191" s="8">
        <f t="shared" si="29"/>
        <v>30.538911522276813</v>
      </c>
    </row>
    <row r="192" spans="1:20" x14ac:dyDescent="0.35">
      <c r="A192" s="2">
        <v>64</v>
      </c>
      <c r="B192" s="1" t="s">
        <v>107</v>
      </c>
      <c r="C192" s="1">
        <v>2023</v>
      </c>
      <c r="D192" s="32">
        <v>134669500000000</v>
      </c>
      <c r="E192" s="32">
        <v>13282848000000</v>
      </c>
      <c r="F192" s="32">
        <f t="shared" si="22"/>
        <v>147952348000000</v>
      </c>
      <c r="G192" s="32">
        <v>16664086000000</v>
      </c>
      <c r="H192" s="8">
        <f t="shared" si="27"/>
        <v>8.8785156293600505</v>
      </c>
      <c r="I192" s="26">
        <v>0.77778000000000003</v>
      </c>
      <c r="J192" s="2">
        <v>3</v>
      </c>
      <c r="K192" s="32">
        <v>1020598000000</v>
      </c>
      <c r="L192" s="32">
        <v>16664086000000</v>
      </c>
      <c r="M192" s="32">
        <v>13282848000000</v>
      </c>
      <c r="N192" s="32">
        <v>16664986000000</v>
      </c>
      <c r="O192" s="26">
        <f t="shared" si="28"/>
        <v>0.85829661788056166</v>
      </c>
      <c r="P192" s="32">
        <v>13282848000000</v>
      </c>
      <c r="Q192" s="32">
        <v>3381238000000</v>
      </c>
      <c r="R192" s="8">
        <f t="shared" si="21"/>
        <v>3.9283978235190777</v>
      </c>
      <c r="S192" s="32">
        <v>16664986000000</v>
      </c>
      <c r="T192" s="8">
        <f t="shared" si="29"/>
        <v>30.444330987603891</v>
      </c>
    </row>
    <row r="193" spans="1:20" x14ac:dyDescent="0.35">
      <c r="A193" s="3">
        <v>64</v>
      </c>
      <c r="B193" s="4" t="s">
        <v>107</v>
      </c>
      <c r="C193" s="4">
        <v>2024</v>
      </c>
      <c r="D193" s="33">
        <v>71912750000000</v>
      </c>
      <c r="E193" s="33">
        <v>13896928000000</v>
      </c>
      <c r="F193" s="33">
        <f t="shared" si="22"/>
        <v>85809678000000</v>
      </c>
      <c r="G193" s="33">
        <v>16046195000000</v>
      </c>
      <c r="H193" s="9">
        <f t="shared" si="27"/>
        <v>5.347665162987238</v>
      </c>
      <c r="I193" s="27">
        <v>0.77778000000000003</v>
      </c>
      <c r="J193" s="3">
        <v>3</v>
      </c>
      <c r="K193" s="33">
        <v>67180000000</v>
      </c>
      <c r="L193" s="33">
        <v>16046195000000</v>
      </c>
      <c r="M193" s="33">
        <v>13896928000000</v>
      </c>
      <c r="N193" s="33">
        <v>16046195000000</v>
      </c>
      <c r="O193" s="27">
        <f t="shared" si="28"/>
        <v>0.87024419184735069</v>
      </c>
      <c r="P193" s="33">
        <v>13896928000000</v>
      </c>
      <c r="Q193" s="33">
        <v>2149267000000</v>
      </c>
      <c r="R193" s="9">
        <f t="shared" si="21"/>
        <v>6.4658918598759483</v>
      </c>
      <c r="S193" s="33">
        <v>16046195000000</v>
      </c>
      <c r="T193" s="9">
        <f t="shared" si="29"/>
        <v>30.406492865747555</v>
      </c>
    </row>
    <row r="194" spans="1:20" x14ac:dyDescent="0.35">
      <c r="A194" s="2">
        <v>65</v>
      </c>
      <c r="B194" s="1" t="s">
        <v>109</v>
      </c>
      <c r="C194" s="1">
        <v>2022</v>
      </c>
      <c r="D194" s="32">
        <v>3421080000000</v>
      </c>
      <c r="E194" s="32">
        <v>349890773776</v>
      </c>
      <c r="F194" s="32">
        <f t="shared" si="22"/>
        <v>3770970773776</v>
      </c>
      <c r="G194" s="32">
        <v>1150904222886</v>
      </c>
      <c r="H194" s="8">
        <f t="shared" si="27"/>
        <v>3.2765287491255686</v>
      </c>
      <c r="I194" s="26">
        <v>0.72221999999999997</v>
      </c>
      <c r="J194" s="2">
        <v>3</v>
      </c>
      <c r="K194" s="32">
        <v>5715909424</v>
      </c>
      <c r="L194" s="32">
        <v>1150904222886</v>
      </c>
      <c r="M194" s="32">
        <v>349890773776</v>
      </c>
      <c r="N194" s="32">
        <v>1150904222886</v>
      </c>
      <c r="O194" s="26">
        <f t="shared" si="28"/>
        <v>0.30898025754765501</v>
      </c>
      <c r="P194" s="32">
        <v>349890773776</v>
      </c>
      <c r="Q194" s="32">
        <v>801013449120</v>
      </c>
      <c r="R194" s="8">
        <f t="shared" si="21"/>
        <v>0.43681011119150731</v>
      </c>
      <c r="S194" s="32">
        <v>1150904222886</v>
      </c>
      <c r="T194" s="8">
        <f t="shared" si="29"/>
        <v>27.771569030117359</v>
      </c>
    </row>
    <row r="195" spans="1:20" x14ac:dyDescent="0.35">
      <c r="A195" s="2">
        <v>65</v>
      </c>
      <c r="B195" s="1" t="s">
        <v>109</v>
      </c>
      <c r="C195" s="1">
        <v>2023</v>
      </c>
      <c r="D195" s="32">
        <v>4360200000000</v>
      </c>
      <c r="E195" s="32">
        <v>229498076801</v>
      </c>
      <c r="F195" s="32">
        <f t="shared" si="22"/>
        <v>4589698076801</v>
      </c>
      <c r="G195" s="32">
        <v>1148235338153</v>
      </c>
      <c r="H195" s="8">
        <f t="shared" si="27"/>
        <v>3.9971754258876784</v>
      </c>
      <c r="I195" s="26">
        <v>0.77778000000000003</v>
      </c>
      <c r="J195" s="2">
        <v>3</v>
      </c>
      <c r="K195" s="32">
        <v>7465058637</v>
      </c>
      <c r="L195" s="32">
        <v>1148235338153</v>
      </c>
      <c r="M195" s="32">
        <v>229498076801</v>
      </c>
      <c r="N195" s="32">
        <v>1148235338153</v>
      </c>
      <c r="O195" s="26">
        <f t="shared" si="28"/>
        <v>0.20637157520266561</v>
      </c>
      <c r="P195" s="32">
        <v>229498076801</v>
      </c>
      <c r="Q195" s="32">
        <v>918737261352</v>
      </c>
      <c r="R195" s="8">
        <f t="shared" si="21"/>
        <v>0.24979728857766589</v>
      </c>
      <c r="S195" s="32">
        <v>1148235338153</v>
      </c>
      <c r="T195" s="8">
        <f t="shared" si="29"/>
        <v>27.769247391207738</v>
      </c>
    </row>
    <row r="196" spans="1:20" x14ac:dyDescent="0.35">
      <c r="A196" s="3">
        <v>65</v>
      </c>
      <c r="B196" s="4" t="s">
        <v>109</v>
      </c>
      <c r="C196" s="4">
        <v>2024</v>
      </c>
      <c r="D196" s="33">
        <v>4393740000000</v>
      </c>
      <c r="E196" s="33">
        <v>261064980740</v>
      </c>
      <c r="F196" s="33">
        <f t="shared" si="22"/>
        <v>4654804980740</v>
      </c>
      <c r="G196" s="33">
        <v>1284957443404</v>
      </c>
      <c r="H196" s="9">
        <f>F196/G196</f>
        <v>3.6225362984854086</v>
      </c>
      <c r="I196" s="27">
        <v>0.77778000000000003</v>
      </c>
      <c r="J196" s="3">
        <v>3</v>
      </c>
      <c r="K196" s="33">
        <v>2346960846</v>
      </c>
      <c r="L196" s="33">
        <v>1284957443404</v>
      </c>
      <c r="M196" s="33">
        <v>261064980740</v>
      </c>
      <c r="N196" s="33">
        <v>1284957443404</v>
      </c>
      <c r="O196" s="27">
        <f t="shared" si="28"/>
        <v>0.20499662688298179</v>
      </c>
      <c r="P196" s="33">
        <v>261064980740</v>
      </c>
      <c r="Q196" s="33">
        <v>1023892462664</v>
      </c>
      <c r="R196" s="9">
        <f t="shared" si="21"/>
        <v>0.25497304674042798</v>
      </c>
      <c r="S196" s="33">
        <v>1284957443404</v>
      </c>
      <c r="T196" s="9">
        <f t="shared" si="29"/>
        <v>27.881746715753778</v>
      </c>
    </row>
    <row r="197" spans="1:20" ht="15" customHeight="1" x14ac:dyDescent="0.35">
      <c r="A197" s="2">
        <v>66</v>
      </c>
      <c r="B197" s="1" t="s">
        <v>165</v>
      </c>
      <c r="C197" s="1">
        <v>2022</v>
      </c>
      <c r="D197" s="32">
        <v>234000000000</v>
      </c>
      <c r="E197" s="32">
        <v>151998653563</v>
      </c>
      <c r="F197" s="32">
        <f>D197+E197</f>
        <v>385998653563</v>
      </c>
      <c r="G197" s="32">
        <v>492056440058</v>
      </c>
      <c r="H197" s="8">
        <f>F197/G197</f>
        <v>0.7844601190820738</v>
      </c>
      <c r="I197" s="26">
        <v>0.66666999999999998</v>
      </c>
      <c r="J197" s="2">
        <v>3</v>
      </c>
      <c r="K197" s="32">
        <v>34723030678</v>
      </c>
      <c r="L197" s="32">
        <v>492056440058</v>
      </c>
      <c r="M197" s="32">
        <v>151998653563</v>
      </c>
      <c r="N197" s="32">
        <v>492056440058</v>
      </c>
      <c r="O197" s="26">
        <f t="shared" si="28"/>
        <v>0.37947208702113644</v>
      </c>
      <c r="P197" s="32">
        <v>151998653563</v>
      </c>
      <c r="Q197" s="32">
        <v>340057786495</v>
      </c>
      <c r="R197" s="31">
        <f>P197/Q197</f>
        <v>0.44697889476274322</v>
      </c>
      <c r="S197" s="32">
        <v>492056440058</v>
      </c>
      <c r="T197" s="31">
        <f>LN(S197)</f>
        <v>26.921859262424434</v>
      </c>
    </row>
    <row r="198" spans="1:20" x14ac:dyDescent="0.35">
      <c r="A198" s="2">
        <v>66</v>
      </c>
      <c r="B198" s="1" t="s">
        <v>165</v>
      </c>
      <c r="C198" s="1">
        <v>2023</v>
      </c>
      <c r="D198" s="32">
        <v>165000000000</v>
      </c>
      <c r="E198" s="32">
        <v>153217515536</v>
      </c>
      <c r="F198" s="32">
        <f t="shared" ref="F198:F199" si="30">D198+E198</f>
        <v>318217515536</v>
      </c>
      <c r="G198" s="32">
        <v>445283742713</v>
      </c>
      <c r="H198" s="8">
        <f t="shared" ref="H198:H199" si="31">F198/G198</f>
        <v>0.71463986894554477</v>
      </c>
      <c r="I198" s="26">
        <v>0.66666999999999998</v>
      </c>
      <c r="J198" s="2">
        <v>3</v>
      </c>
      <c r="K198" s="32">
        <v>29815840686</v>
      </c>
      <c r="L198" s="32">
        <v>445283742713</v>
      </c>
      <c r="M198" s="32">
        <v>153217515536</v>
      </c>
      <c r="N198" s="32">
        <v>445283742713</v>
      </c>
      <c r="O198" s="26">
        <f t="shared" si="28"/>
        <v>0.4110488182362656</v>
      </c>
      <c r="P198" s="32">
        <v>153217515536</v>
      </c>
      <c r="Q198" s="32">
        <v>292066227177</v>
      </c>
      <c r="R198" s="8">
        <f t="shared" ref="R198:R199" si="32">P198/Q198</f>
        <v>0.52459853717748084</v>
      </c>
      <c r="S198" s="32">
        <v>445283742713</v>
      </c>
      <c r="T198" s="8">
        <f t="shared" ref="T198:T199" si="33">LN(S198)</f>
        <v>26.82197753999095</v>
      </c>
    </row>
    <row r="199" spans="1:20" x14ac:dyDescent="0.35">
      <c r="A199" s="3">
        <v>66</v>
      </c>
      <c r="B199" s="4" t="s">
        <v>165</v>
      </c>
      <c r="C199" s="4">
        <v>2024</v>
      </c>
      <c r="D199" s="33">
        <v>186000000000</v>
      </c>
      <c r="E199" s="33">
        <v>125460038929</v>
      </c>
      <c r="F199" s="33">
        <f t="shared" si="30"/>
        <v>311460038929</v>
      </c>
      <c r="G199" s="33">
        <v>428616854532</v>
      </c>
      <c r="H199" s="9">
        <f t="shared" si="31"/>
        <v>0.72666306897585331</v>
      </c>
      <c r="I199" s="27">
        <v>0.66666999999999998</v>
      </c>
      <c r="J199" s="3">
        <v>3</v>
      </c>
      <c r="K199" s="33">
        <v>42191587302</v>
      </c>
      <c r="L199" s="33">
        <v>428616854532</v>
      </c>
      <c r="M199" s="33">
        <v>125460038929</v>
      </c>
      <c r="N199" s="33">
        <v>428616854532</v>
      </c>
      <c r="O199" s="27">
        <f t="shared" si="28"/>
        <v>0.39114566881429841</v>
      </c>
      <c r="P199" s="33">
        <v>125460038929</v>
      </c>
      <c r="Q199" s="33">
        <v>303156815603</v>
      </c>
      <c r="R199" s="9">
        <f t="shared" si="32"/>
        <v>0.41384535155329183</v>
      </c>
      <c r="S199" s="33">
        <v>428616854532</v>
      </c>
      <c r="T199" s="9">
        <f t="shared" si="33"/>
        <v>26.783829243832386</v>
      </c>
    </row>
    <row r="200" spans="1:20" x14ac:dyDescent="0.35">
      <c r="A200" s="1"/>
      <c r="J200" s="1"/>
    </row>
    <row r="201" spans="1:20" x14ac:dyDescent="0.35">
      <c r="A201" s="1"/>
      <c r="H201" s="8">
        <f>MIN(H2:H199)</f>
        <v>0.35610914071742311</v>
      </c>
      <c r="J201" s="1"/>
    </row>
    <row r="202" spans="1:20" x14ac:dyDescent="0.35">
      <c r="A202" s="1"/>
      <c r="J202" s="1"/>
    </row>
    <row r="203" spans="1:20" x14ac:dyDescent="0.35">
      <c r="A203" s="1"/>
      <c r="H203" s="8">
        <f>MAX(H2:H199)</f>
        <v>10.57018522758402</v>
      </c>
      <c r="J203" s="1"/>
    </row>
    <row r="204" spans="1:20" s="32" customFormat="1" x14ac:dyDescent="0.35">
      <c r="A204" s="1"/>
      <c r="B204" s="1"/>
      <c r="C204" s="1"/>
      <c r="F204" s="1"/>
      <c r="H204" s="1"/>
      <c r="I204" s="26"/>
      <c r="J204" s="1"/>
      <c r="O204" s="47"/>
      <c r="R204" s="8"/>
      <c r="T204" s="8"/>
    </row>
    <row r="205" spans="1:20" s="32" customFormat="1" x14ac:dyDescent="0.35">
      <c r="A205" s="1"/>
      <c r="B205" s="1"/>
      <c r="C205" s="1"/>
      <c r="F205" s="1"/>
      <c r="H205" s="1"/>
      <c r="I205" s="26"/>
      <c r="J205" s="1"/>
      <c r="O205" s="47"/>
      <c r="R205" s="8"/>
      <c r="T205" s="8"/>
    </row>
    <row r="206" spans="1:20" s="32" customFormat="1" x14ac:dyDescent="0.35">
      <c r="A206" s="1"/>
      <c r="B206" s="1"/>
      <c r="C206" s="1"/>
      <c r="F206" s="1"/>
      <c r="H206" s="1"/>
      <c r="I206" s="26"/>
      <c r="J206" s="1"/>
      <c r="O206" s="47"/>
      <c r="R206" s="8"/>
      <c r="T206" s="8"/>
    </row>
    <row r="207" spans="1:20" s="32" customFormat="1" x14ac:dyDescent="0.35">
      <c r="A207" s="1"/>
      <c r="B207" s="1"/>
      <c r="C207" s="1"/>
      <c r="F207" s="1"/>
      <c r="H207" s="1"/>
      <c r="I207" s="26"/>
      <c r="J207" s="1"/>
      <c r="O207" s="47"/>
      <c r="R207" s="8"/>
      <c r="T207" s="8"/>
    </row>
    <row r="208" spans="1:20" s="32" customFormat="1" x14ac:dyDescent="0.35">
      <c r="A208" s="1"/>
      <c r="B208" s="1"/>
      <c r="C208" s="1"/>
      <c r="F208" s="1"/>
      <c r="H208" s="1"/>
      <c r="I208" s="26"/>
      <c r="J208" s="1"/>
      <c r="O208" s="47"/>
      <c r="R208" s="8"/>
      <c r="T208" s="8"/>
    </row>
    <row r="209" spans="1:20" s="32" customFormat="1" x14ac:dyDescent="0.35">
      <c r="A209" s="1"/>
      <c r="B209" s="1"/>
      <c r="C209" s="1"/>
      <c r="F209" s="1"/>
      <c r="H209" s="1"/>
      <c r="I209" s="26"/>
      <c r="J209" s="1"/>
      <c r="O209" s="47"/>
      <c r="R209" s="8"/>
      <c r="T209" s="8"/>
    </row>
    <row r="210" spans="1:20" s="32" customFormat="1" x14ac:dyDescent="0.35">
      <c r="A210" s="1"/>
      <c r="B210" s="1"/>
      <c r="C210" s="1"/>
      <c r="F210" s="1"/>
      <c r="H210" s="1"/>
      <c r="I210" s="26"/>
      <c r="J210" s="1"/>
      <c r="O210" s="47"/>
      <c r="R210" s="8"/>
      <c r="T210" s="8"/>
    </row>
    <row r="211" spans="1:20" s="32" customFormat="1" x14ac:dyDescent="0.35">
      <c r="A211" s="1"/>
      <c r="B211" s="1"/>
      <c r="C211" s="1"/>
      <c r="F211" s="1"/>
      <c r="H211" s="1"/>
      <c r="I211" s="26"/>
      <c r="J211" s="1"/>
      <c r="O211" s="47"/>
      <c r="R211" s="8"/>
      <c r="T211" s="8"/>
    </row>
    <row r="212" spans="1:20" s="32" customFormat="1" x14ac:dyDescent="0.35">
      <c r="A212" s="1"/>
      <c r="B212" s="1"/>
      <c r="C212" s="1"/>
      <c r="F212" s="1"/>
      <c r="H212" s="1"/>
      <c r="I212" s="26"/>
      <c r="J212" s="1"/>
      <c r="O212" s="47"/>
      <c r="R212" s="8"/>
      <c r="T212" s="8"/>
    </row>
    <row r="213" spans="1:20" s="32" customFormat="1" x14ac:dyDescent="0.35">
      <c r="A213" s="1"/>
      <c r="B213" s="1"/>
      <c r="C213" s="1"/>
      <c r="F213" s="1"/>
      <c r="H213" s="1"/>
      <c r="I213" s="26"/>
      <c r="J213" s="1"/>
      <c r="O213" s="47"/>
      <c r="R213" s="8"/>
      <c r="T213" s="8"/>
    </row>
    <row r="214" spans="1:20" s="32" customFormat="1" x14ac:dyDescent="0.35">
      <c r="A214" s="1"/>
      <c r="B214" s="1"/>
      <c r="C214" s="1"/>
      <c r="F214" s="1"/>
      <c r="H214" s="1"/>
      <c r="I214" s="26"/>
      <c r="J214" s="1"/>
      <c r="O214" s="47"/>
      <c r="R214" s="8"/>
      <c r="T214" s="8"/>
    </row>
    <row r="215" spans="1:20" s="32" customFormat="1" x14ac:dyDescent="0.35">
      <c r="A215" s="1"/>
      <c r="B215" s="1"/>
      <c r="C215" s="1"/>
      <c r="F215" s="1"/>
      <c r="H215" s="1"/>
      <c r="I215" s="26"/>
      <c r="J215" s="1"/>
      <c r="O215" s="47"/>
      <c r="R215" s="8"/>
      <c r="T215" s="8"/>
    </row>
    <row r="216" spans="1:20" s="32" customFormat="1" x14ac:dyDescent="0.35">
      <c r="A216" s="1"/>
      <c r="B216" s="1"/>
      <c r="C216" s="1"/>
      <c r="F216" s="1"/>
      <c r="H216" s="1"/>
      <c r="I216" s="26"/>
      <c r="J216" s="1"/>
      <c r="O216" s="47"/>
      <c r="R216" s="8"/>
      <c r="T216" s="8"/>
    </row>
    <row r="217" spans="1:20" s="32" customFormat="1" x14ac:dyDescent="0.35">
      <c r="A217" s="1"/>
      <c r="B217" s="1"/>
      <c r="C217" s="1"/>
      <c r="F217" s="1"/>
      <c r="H217" s="1"/>
      <c r="I217" s="26"/>
      <c r="J217" s="1"/>
      <c r="O217" s="47"/>
      <c r="R217" s="8"/>
      <c r="T217" s="8"/>
    </row>
    <row r="218" spans="1:20" s="32" customFormat="1" x14ac:dyDescent="0.35">
      <c r="A218" s="1"/>
      <c r="B218" s="1"/>
      <c r="C218" s="1"/>
      <c r="F218" s="1"/>
      <c r="H218" s="1"/>
      <c r="I218" s="26"/>
      <c r="J218" s="1"/>
      <c r="O218" s="47"/>
      <c r="R218" s="8"/>
      <c r="T218" s="8"/>
    </row>
    <row r="219" spans="1:20" s="32" customFormat="1" x14ac:dyDescent="0.35">
      <c r="A219" s="1"/>
      <c r="B219" s="1"/>
      <c r="C219" s="1"/>
      <c r="F219" s="1"/>
      <c r="H219" s="1"/>
      <c r="I219" s="26"/>
      <c r="J219" s="1"/>
      <c r="O219" s="47"/>
      <c r="R219" s="8"/>
      <c r="T219" s="8"/>
    </row>
    <row r="220" spans="1:20" s="32" customFormat="1" x14ac:dyDescent="0.35">
      <c r="A220" s="1"/>
      <c r="B220" s="1"/>
      <c r="C220" s="1"/>
      <c r="F220" s="1"/>
      <c r="H220" s="1"/>
      <c r="I220" s="26"/>
      <c r="J220" s="1"/>
      <c r="O220" s="47"/>
      <c r="R220" s="8"/>
      <c r="T220" s="8"/>
    </row>
    <row r="221" spans="1:20" s="32" customFormat="1" x14ac:dyDescent="0.35">
      <c r="A221" s="1"/>
      <c r="B221" s="1"/>
      <c r="C221" s="1"/>
      <c r="F221" s="1"/>
      <c r="H221" s="1"/>
      <c r="I221" s="26"/>
      <c r="J221" s="1"/>
      <c r="O221" s="47"/>
      <c r="R221" s="8"/>
      <c r="T221" s="8"/>
    </row>
    <row r="222" spans="1:20" s="32" customFormat="1" x14ac:dyDescent="0.35">
      <c r="A222" s="1"/>
      <c r="B222" s="1"/>
      <c r="C222" s="1"/>
      <c r="F222" s="1"/>
      <c r="H222" s="1"/>
      <c r="I222" s="26"/>
      <c r="J222" s="1"/>
      <c r="O222" s="47"/>
      <c r="R222" s="8"/>
      <c r="T222" s="8"/>
    </row>
    <row r="223" spans="1:20" s="32" customFormat="1" x14ac:dyDescent="0.35">
      <c r="A223" s="1"/>
      <c r="B223" s="1"/>
      <c r="C223" s="1"/>
      <c r="F223" s="1"/>
      <c r="H223" s="1"/>
      <c r="I223" s="26"/>
      <c r="J223" s="1"/>
      <c r="O223" s="47"/>
      <c r="R223" s="8"/>
      <c r="T223" s="8"/>
    </row>
    <row r="224" spans="1:20" s="32" customFormat="1" x14ac:dyDescent="0.35">
      <c r="A224" s="1"/>
      <c r="B224" s="1"/>
      <c r="C224" s="1"/>
      <c r="F224" s="1"/>
      <c r="H224" s="1"/>
      <c r="I224" s="26"/>
      <c r="J224" s="1"/>
      <c r="O224" s="47"/>
      <c r="R224" s="8"/>
      <c r="T224" s="8"/>
    </row>
    <row r="225" spans="1:20" s="32" customFormat="1" x14ac:dyDescent="0.35">
      <c r="A225" s="1"/>
      <c r="B225" s="1"/>
      <c r="C225" s="1"/>
      <c r="F225" s="1"/>
      <c r="H225" s="1"/>
      <c r="I225" s="26"/>
      <c r="J225" s="1"/>
      <c r="O225" s="47"/>
      <c r="R225" s="8"/>
      <c r="T225" s="8"/>
    </row>
    <row r="226" spans="1:20" s="32" customFormat="1" x14ac:dyDescent="0.35">
      <c r="A226" s="1"/>
      <c r="B226" s="1"/>
      <c r="C226" s="1"/>
      <c r="F226" s="1"/>
      <c r="H226" s="1"/>
      <c r="I226" s="26"/>
      <c r="J226" s="1"/>
      <c r="O226" s="47"/>
      <c r="R226" s="8"/>
      <c r="T226" s="8"/>
    </row>
    <row r="227" spans="1:20" s="32" customFormat="1" x14ac:dyDescent="0.35">
      <c r="A227" s="1"/>
      <c r="B227" s="1"/>
      <c r="C227" s="1"/>
      <c r="F227" s="1"/>
      <c r="H227" s="1"/>
      <c r="I227" s="26"/>
      <c r="J227" s="1"/>
      <c r="O227" s="47"/>
      <c r="R227" s="8"/>
      <c r="T227" s="8"/>
    </row>
    <row r="228" spans="1:20" s="32" customFormat="1" x14ac:dyDescent="0.35">
      <c r="A228" s="1"/>
      <c r="B228" s="1"/>
      <c r="C228" s="1"/>
      <c r="F228" s="1"/>
      <c r="H228" s="1"/>
      <c r="I228" s="26"/>
      <c r="J228" s="1"/>
      <c r="O228" s="47"/>
      <c r="R228" s="8"/>
      <c r="T228" s="8"/>
    </row>
    <row r="229" spans="1:20" s="32" customFormat="1" x14ac:dyDescent="0.35">
      <c r="A229" s="1"/>
      <c r="B229" s="1"/>
      <c r="C229" s="1"/>
      <c r="F229" s="1"/>
      <c r="H229" s="1"/>
      <c r="I229" s="26"/>
      <c r="J229" s="1"/>
      <c r="O229" s="47"/>
      <c r="R229" s="8"/>
      <c r="T229" s="8"/>
    </row>
    <row r="230" spans="1:20" s="32" customFormat="1" x14ac:dyDescent="0.35">
      <c r="A230" s="1"/>
      <c r="B230" s="1"/>
      <c r="C230" s="1"/>
      <c r="F230" s="1"/>
      <c r="H230" s="1"/>
      <c r="I230" s="26"/>
      <c r="J230" s="1"/>
      <c r="O230" s="47"/>
      <c r="R230" s="8"/>
      <c r="T230" s="8"/>
    </row>
    <row r="231" spans="1:20" s="32" customFormat="1" x14ac:dyDescent="0.35">
      <c r="A231" s="1"/>
      <c r="B231" s="1"/>
      <c r="C231" s="1"/>
      <c r="F231" s="1"/>
      <c r="H231" s="1"/>
      <c r="I231" s="26"/>
      <c r="J231" s="1"/>
      <c r="O231" s="47"/>
      <c r="R231" s="8"/>
      <c r="T231" s="8"/>
    </row>
    <row r="232" spans="1:20" s="32" customFormat="1" x14ac:dyDescent="0.35">
      <c r="A232" s="1"/>
      <c r="B232" s="1"/>
      <c r="C232" s="1"/>
      <c r="F232" s="1"/>
      <c r="H232" s="1"/>
      <c r="I232" s="26"/>
      <c r="J232" s="1"/>
      <c r="O232" s="47"/>
      <c r="R232" s="8"/>
      <c r="T232" s="8"/>
    </row>
    <row r="233" spans="1:20" s="32" customFormat="1" x14ac:dyDescent="0.35">
      <c r="A233" s="1"/>
      <c r="B233" s="1"/>
      <c r="C233" s="1"/>
      <c r="F233" s="1"/>
      <c r="H233" s="1"/>
      <c r="I233" s="26"/>
      <c r="J233" s="1"/>
      <c r="O233" s="47"/>
      <c r="R233" s="8"/>
      <c r="T233" s="8"/>
    </row>
    <row r="234" spans="1:20" s="32" customFormat="1" x14ac:dyDescent="0.35">
      <c r="A234" s="1"/>
      <c r="B234" s="1"/>
      <c r="C234" s="1"/>
      <c r="F234" s="1"/>
      <c r="H234" s="1"/>
      <c r="I234" s="26"/>
      <c r="J234" s="1"/>
      <c r="O234" s="47"/>
      <c r="R234" s="8"/>
      <c r="T234" s="8"/>
    </row>
    <row r="235" spans="1:20" s="32" customFormat="1" x14ac:dyDescent="0.35">
      <c r="A235" s="1"/>
      <c r="B235" s="1"/>
      <c r="C235" s="1"/>
      <c r="F235" s="1"/>
      <c r="H235" s="1"/>
      <c r="I235" s="26"/>
      <c r="J235" s="1"/>
      <c r="O235" s="47"/>
      <c r="R235" s="8"/>
      <c r="T235" s="8"/>
    </row>
    <row r="236" spans="1:20" s="32" customFormat="1" x14ac:dyDescent="0.35">
      <c r="A236" s="1"/>
      <c r="B236" s="1"/>
      <c r="C236" s="1"/>
      <c r="F236" s="1"/>
      <c r="H236" s="1"/>
      <c r="I236" s="26"/>
      <c r="J236" s="1"/>
      <c r="O236" s="47"/>
      <c r="R236" s="8"/>
      <c r="T236" s="8"/>
    </row>
    <row r="237" spans="1:20" s="32" customFormat="1" x14ac:dyDescent="0.35">
      <c r="A237" s="1"/>
      <c r="B237" s="1"/>
      <c r="C237" s="1"/>
      <c r="F237" s="1"/>
      <c r="H237" s="1"/>
      <c r="I237" s="26"/>
      <c r="J237" s="1"/>
      <c r="O237" s="47"/>
      <c r="R237" s="8"/>
      <c r="T237" s="8"/>
    </row>
    <row r="238" spans="1:20" s="32" customFormat="1" x14ac:dyDescent="0.35">
      <c r="A238" s="1"/>
      <c r="B238" s="1"/>
      <c r="C238" s="1"/>
      <c r="F238" s="1"/>
      <c r="H238" s="1"/>
      <c r="I238" s="26"/>
      <c r="J238" s="1"/>
      <c r="O238" s="47"/>
      <c r="R238" s="8"/>
      <c r="T238" s="8"/>
    </row>
    <row r="239" spans="1:20" s="32" customFormat="1" x14ac:dyDescent="0.35">
      <c r="A239" s="1"/>
      <c r="B239" s="1"/>
      <c r="C239" s="1"/>
      <c r="F239" s="1"/>
      <c r="H239" s="1"/>
      <c r="I239" s="26"/>
      <c r="J239" s="1"/>
      <c r="O239" s="47"/>
      <c r="R239" s="8"/>
      <c r="T239" s="8"/>
    </row>
    <row r="240" spans="1:20" s="32" customFormat="1" x14ac:dyDescent="0.35">
      <c r="A240" s="1"/>
      <c r="B240" s="1"/>
      <c r="C240" s="1"/>
      <c r="F240" s="1"/>
      <c r="H240" s="1"/>
      <c r="I240" s="26"/>
      <c r="J240" s="1"/>
      <c r="O240" s="47"/>
      <c r="R240" s="8"/>
      <c r="T240" s="8"/>
    </row>
    <row r="241" spans="1:20" s="32" customFormat="1" x14ac:dyDescent="0.35">
      <c r="A241" s="1"/>
      <c r="B241" s="1"/>
      <c r="C241" s="1"/>
      <c r="F241" s="1"/>
      <c r="H241" s="1"/>
      <c r="I241" s="26"/>
      <c r="J241" s="1"/>
      <c r="O241" s="47"/>
      <c r="R241" s="8"/>
      <c r="T241" s="8"/>
    </row>
    <row r="242" spans="1:20" s="32" customFormat="1" x14ac:dyDescent="0.35">
      <c r="A242" s="1"/>
      <c r="B242" s="1"/>
      <c r="C242" s="1"/>
      <c r="F242" s="1"/>
      <c r="H242" s="1"/>
      <c r="I242" s="26"/>
      <c r="J242" s="1"/>
      <c r="O242" s="47"/>
      <c r="R242" s="8"/>
      <c r="T242" s="8"/>
    </row>
    <row r="243" spans="1:20" s="32" customFormat="1" x14ac:dyDescent="0.35">
      <c r="A243" s="1"/>
      <c r="B243" s="1"/>
      <c r="C243" s="1"/>
      <c r="F243" s="1"/>
      <c r="H243" s="1"/>
      <c r="I243" s="26"/>
      <c r="J243" s="1"/>
      <c r="O243" s="47"/>
      <c r="R243" s="8"/>
      <c r="T243" s="8"/>
    </row>
    <row r="244" spans="1:20" s="32" customFormat="1" x14ac:dyDescent="0.35">
      <c r="A244" s="1"/>
      <c r="B244" s="1"/>
      <c r="C244" s="1"/>
      <c r="F244" s="1"/>
      <c r="H244" s="1"/>
      <c r="I244" s="26"/>
      <c r="J244" s="1"/>
      <c r="O244" s="47"/>
      <c r="R244" s="8"/>
      <c r="T244" s="8"/>
    </row>
    <row r="245" spans="1:20" s="32" customFormat="1" x14ac:dyDescent="0.35">
      <c r="A245" s="1"/>
      <c r="B245" s="1"/>
      <c r="C245" s="1"/>
      <c r="F245" s="1"/>
      <c r="H245" s="1"/>
      <c r="I245" s="26"/>
      <c r="J245" s="1"/>
      <c r="O245" s="47"/>
      <c r="R245" s="8"/>
      <c r="T245" s="8"/>
    </row>
    <row r="246" spans="1:20" s="32" customFormat="1" x14ac:dyDescent="0.35">
      <c r="A246" s="1"/>
      <c r="B246" s="1"/>
      <c r="C246" s="1"/>
      <c r="F246" s="1"/>
      <c r="H246" s="1"/>
      <c r="I246" s="26"/>
      <c r="J246" s="1"/>
      <c r="O246" s="47"/>
      <c r="R246" s="8"/>
      <c r="T246" s="8"/>
    </row>
    <row r="247" spans="1:20" s="32" customFormat="1" x14ac:dyDescent="0.35">
      <c r="A247" s="1"/>
      <c r="B247" s="1"/>
      <c r="C247" s="1"/>
      <c r="F247" s="1"/>
      <c r="H247" s="1"/>
      <c r="I247" s="26"/>
      <c r="J247" s="1"/>
      <c r="O247" s="47"/>
      <c r="R247" s="8"/>
      <c r="T247" s="8"/>
    </row>
    <row r="248" spans="1:20" s="32" customFormat="1" x14ac:dyDescent="0.35">
      <c r="A248" s="1"/>
      <c r="B248" s="1"/>
      <c r="C248" s="1"/>
      <c r="F248" s="1"/>
      <c r="H248" s="1"/>
      <c r="I248" s="26"/>
      <c r="J248" s="1"/>
      <c r="O248" s="47"/>
      <c r="R248" s="8"/>
      <c r="T248" s="8"/>
    </row>
    <row r="249" spans="1:20" s="32" customFormat="1" x14ac:dyDescent="0.35">
      <c r="A249" s="1"/>
      <c r="B249" s="1"/>
      <c r="C249" s="1"/>
      <c r="F249" s="1"/>
      <c r="H249" s="1"/>
      <c r="I249" s="26"/>
      <c r="J249" s="1"/>
      <c r="O249" s="47"/>
      <c r="R249" s="8"/>
      <c r="T249" s="8"/>
    </row>
    <row r="250" spans="1:20" s="32" customFormat="1" x14ac:dyDescent="0.35">
      <c r="A250" s="1"/>
      <c r="B250" s="1"/>
      <c r="C250" s="1"/>
      <c r="F250" s="1"/>
      <c r="H250" s="1"/>
      <c r="I250" s="26"/>
      <c r="J250" s="1"/>
      <c r="O250" s="47"/>
      <c r="R250" s="8"/>
      <c r="T250" s="8"/>
    </row>
    <row r="251" spans="1:20" s="32" customFormat="1" x14ac:dyDescent="0.35">
      <c r="A251" s="1"/>
      <c r="B251" s="1"/>
      <c r="C251" s="1"/>
      <c r="F251" s="1"/>
      <c r="H251" s="1"/>
      <c r="I251" s="26"/>
      <c r="J251" s="1"/>
      <c r="O251" s="47"/>
      <c r="R251" s="8"/>
      <c r="T251" s="8"/>
    </row>
    <row r="252" spans="1:20" s="32" customFormat="1" x14ac:dyDescent="0.35">
      <c r="A252" s="1"/>
      <c r="B252" s="1"/>
      <c r="C252" s="1"/>
      <c r="F252" s="1"/>
      <c r="H252" s="1"/>
      <c r="I252" s="26"/>
      <c r="J252" s="1"/>
      <c r="O252" s="47"/>
      <c r="R252" s="8"/>
      <c r="T252" s="8"/>
    </row>
    <row r="253" spans="1:20" s="32" customFormat="1" x14ac:dyDescent="0.35">
      <c r="A253" s="1"/>
      <c r="B253" s="1"/>
      <c r="C253" s="1"/>
      <c r="F253" s="1"/>
      <c r="H253" s="1"/>
      <c r="I253" s="26"/>
      <c r="J253" s="1"/>
      <c r="O253" s="47"/>
      <c r="R253" s="8"/>
      <c r="T253" s="8"/>
    </row>
    <row r="254" spans="1:20" s="32" customFormat="1" x14ac:dyDescent="0.35">
      <c r="A254" s="1"/>
      <c r="B254" s="1"/>
      <c r="C254" s="1"/>
      <c r="F254" s="1"/>
      <c r="H254" s="1"/>
      <c r="I254" s="26"/>
      <c r="J254" s="1"/>
      <c r="O254" s="47"/>
      <c r="R254" s="8"/>
      <c r="T254" s="8"/>
    </row>
    <row r="255" spans="1:20" s="32" customFormat="1" x14ac:dyDescent="0.35">
      <c r="A255" s="1"/>
      <c r="B255" s="1"/>
      <c r="C255" s="1"/>
      <c r="F255" s="1"/>
      <c r="H255" s="1"/>
      <c r="I255" s="26"/>
      <c r="J255" s="1"/>
      <c r="O255" s="47"/>
      <c r="R255" s="8"/>
      <c r="T255" s="8"/>
    </row>
    <row r="256" spans="1:20" s="32" customFormat="1" x14ac:dyDescent="0.35">
      <c r="A256" s="1"/>
      <c r="B256" s="1"/>
      <c r="C256" s="1"/>
      <c r="F256" s="1"/>
      <c r="H256" s="1"/>
      <c r="I256" s="26"/>
      <c r="J256" s="1"/>
      <c r="O256" s="47"/>
      <c r="R256" s="8"/>
      <c r="T256" s="8"/>
    </row>
    <row r="257" spans="1:20" s="32" customFormat="1" x14ac:dyDescent="0.35">
      <c r="A257" s="1"/>
      <c r="B257" s="1"/>
      <c r="C257" s="1"/>
      <c r="F257" s="1"/>
      <c r="H257" s="1"/>
      <c r="I257" s="26"/>
      <c r="J257" s="1"/>
      <c r="O257" s="47"/>
      <c r="R257" s="8"/>
      <c r="T257" s="8"/>
    </row>
    <row r="258" spans="1:20" s="32" customFormat="1" x14ac:dyDescent="0.35">
      <c r="A258" s="1"/>
      <c r="B258" s="1"/>
      <c r="C258" s="1"/>
      <c r="F258" s="1"/>
      <c r="H258" s="1"/>
      <c r="I258" s="26"/>
      <c r="J258" s="1"/>
      <c r="O258" s="47"/>
      <c r="R258" s="8"/>
      <c r="T258" s="8"/>
    </row>
    <row r="259" spans="1:20" s="32" customFormat="1" x14ac:dyDescent="0.35">
      <c r="A259" s="1"/>
      <c r="B259" s="1"/>
      <c r="C259" s="1"/>
      <c r="F259" s="1"/>
      <c r="H259" s="1"/>
      <c r="I259" s="26"/>
      <c r="J259" s="1"/>
      <c r="O259" s="47"/>
      <c r="R259" s="8"/>
      <c r="T259" s="8"/>
    </row>
    <row r="260" spans="1:20" s="32" customFormat="1" x14ac:dyDescent="0.35">
      <c r="A260" s="1"/>
      <c r="B260" s="1"/>
      <c r="C260" s="1"/>
      <c r="F260" s="1"/>
      <c r="H260" s="1"/>
      <c r="I260" s="26"/>
      <c r="J260" s="1"/>
      <c r="O260" s="47"/>
      <c r="R260" s="8"/>
      <c r="T260" s="8"/>
    </row>
    <row r="261" spans="1:20" s="32" customFormat="1" x14ac:dyDescent="0.35">
      <c r="A261" s="1"/>
      <c r="B261" s="1"/>
      <c r="C261" s="1"/>
      <c r="F261" s="1"/>
      <c r="H261" s="1"/>
      <c r="I261" s="26"/>
      <c r="J261" s="1"/>
      <c r="O261" s="47"/>
      <c r="R261" s="8"/>
      <c r="T261" s="8"/>
    </row>
    <row r="262" spans="1:20" s="32" customFormat="1" x14ac:dyDescent="0.35">
      <c r="A262" s="1"/>
      <c r="B262" s="1"/>
      <c r="C262" s="1"/>
      <c r="F262" s="1"/>
      <c r="H262" s="1"/>
      <c r="I262" s="26"/>
      <c r="J262" s="1"/>
      <c r="O262" s="47"/>
      <c r="R262" s="8"/>
      <c r="T262" s="8"/>
    </row>
    <row r="263" spans="1:20" s="32" customFormat="1" x14ac:dyDescent="0.35">
      <c r="A263" s="1"/>
      <c r="B263" s="1"/>
      <c r="C263" s="1"/>
      <c r="F263" s="1"/>
      <c r="H263" s="1"/>
      <c r="I263" s="26"/>
      <c r="J263" s="1"/>
      <c r="O263" s="47"/>
      <c r="R263" s="8"/>
      <c r="T263" s="8"/>
    </row>
    <row r="264" spans="1:20" s="32" customFormat="1" x14ac:dyDescent="0.35">
      <c r="A264" s="1"/>
      <c r="B264" s="1"/>
      <c r="C264" s="1"/>
      <c r="F264" s="1"/>
      <c r="H264" s="1"/>
      <c r="I264" s="26"/>
      <c r="J264" s="1"/>
      <c r="O264" s="47"/>
      <c r="R264" s="8"/>
      <c r="T264" s="8"/>
    </row>
    <row r="265" spans="1:20" s="32" customFormat="1" x14ac:dyDescent="0.35">
      <c r="A265" s="1"/>
      <c r="B265" s="1"/>
      <c r="C265" s="1"/>
      <c r="F265" s="1"/>
      <c r="H265" s="1"/>
      <c r="I265" s="26"/>
      <c r="J265" s="1"/>
      <c r="O265" s="47"/>
      <c r="R265" s="8"/>
      <c r="T265" s="8"/>
    </row>
    <row r="266" spans="1:20" s="32" customFormat="1" x14ac:dyDescent="0.35">
      <c r="A266" s="1"/>
      <c r="B266" s="1"/>
      <c r="C266" s="1"/>
      <c r="F266" s="1"/>
      <c r="H266" s="1"/>
      <c r="I266" s="26"/>
      <c r="J266" s="1"/>
      <c r="O266" s="47"/>
      <c r="R266" s="8"/>
      <c r="T266" s="8"/>
    </row>
    <row r="267" spans="1:20" s="32" customFormat="1" x14ac:dyDescent="0.35">
      <c r="A267" s="1"/>
      <c r="B267" s="1"/>
      <c r="C267" s="1"/>
      <c r="F267" s="1"/>
      <c r="H267" s="1"/>
      <c r="I267" s="26"/>
      <c r="J267" s="1"/>
      <c r="O267" s="47"/>
      <c r="R267" s="8"/>
      <c r="T267" s="8"/>
    </row>
    <row r="268" spans="1:20" s="32" customFormat="1" x14ac:dyDescent="0.35">
      <c r="A268" s="1"/>
      <c r="B268" s="1"/>
      <c r="C268" s="1"/>
      <c r="F268" s="1"/>
      <c r="H268" s="1"/>
      <c r="I268" s="26"/>
      <c r="J268" s="1"/>
      <c r="O268" s="47"/>
      <c r="R268" s="8"/>
      <c r="T268" s="8"/>
    </row>
    <row r="269" spans="1:20" s="32" customFormat="1" x14ac:dyDescent="0.35">
      <c r="A269" s="1"/>
      <c r="B269" s="1"/>
      <c r="C269" s="1"/>
      <c r="F269" s="1"/>
      <c r="H269" s="1"/>
      <c r="I269" s="26"/>
      <c r="J269" s="1"/>
      <c r="O269" s="47"/>
      <c r="R269" s="8"/>
      <c r="T269" s="8"/>
    </row>
    <row r="270" spans="1:20" s="32" customFormat="1" x14ac:dyDescent="0.35">
      <c r="A270" s="1"/>
      <c r="B270" s="1"/>
      <c r="C270" s="1"/>
      <c r="F270" s="1"/>
      <c r="H270" s="1"/>
      <c r="I270" s="26"/>
      <c r="J270" s="1"/>
      <c r="O270" s="47"/>
      <c r="R270" s="8"/>
      <c r="T270" s="8"/>
    </row>
    <row r="271" spans="1:20" s="32" customFormat="1" x14ac:dyDescent="0.35">
      <c r="A271" s="1"/>
      <c r="B271" s="1"/>
      <c r="C271" s="1"/>
      <c r="F271" s="1"/>
      <c r="H271" s="1"/>
      <c r="I271" s="26"/>
      <c r="J271" s="1"/>
      <c r="O271" s="47"/>
      <c r="R271" s="8"/>
      <c r="T271" s="8"/>
    </row>
    <row r="272" spans="1:20" s="32" customFormat="1" x14ac:dyDescent="0.35">
      <c r="A272" s="1"/>
      <c r="B272" s="1"/>
      <c r="C272" s="1"/>
      <c r="F272" s="1"/>
      <c r="H272" s="1"/>
      <c r="I272" s="26"/>
      <c r="J272" s="1"/>
      <c r="O272" s="47"/>
      <c r="R272" s="8"/>
      <c r="T272" s="8"/>
    </row>
    <row r="273" spans="1:20" s="32" customFormat="1" x14ac:dyDescent="0.35">
      <c r="A273" s="1"/>
      <c r="B273" s="1"/>
      <c r="C273" s="1"/>
      <c r="F273" s="1"/>
      <c r="H273" s="1"/>
      <c r="I273" s="26"/>
      <c r="J273" s="1"/>
      <c r="O273" s="47"/>
      <c r="R273" s="8"/>
      <c r="T273" s="8"/>
    </row>
    <row r="274" spans="1:20" s="32" customFormat="1" x14ac:dyDescent="0.35">
      <c r="A274" s="1"/>
      <c r="B274" s="1"/>
      <c r="C274" s="1"/>
      <c r="F274" s="1"/>
      <c r="H274" s="1"/>
      <c r="I274" s="26"/>
      <c r="J274" s="1"/>
      <c r="O274" s="47"/>
      <c r="R274" s="8"/>
      <c r="T274" s="8"/>
    </row>
    <row r="275" spans="1:20" s="32" customFormat="1" x14ac:dyDescent="0.35">
      <c r="A275" s="1"/>
      <c r="B275" s="1"/>
      <c r="C275" s="1"/>
      <c r="F275" s="1"/>
      <c r="H275" s="1"/>
      <c r="I275" s="26"/>
      <c r="J275" s="1"/>
      <c r="O275" s="47"/>
      <c r="R275" s="8"/>
      <c r="T275" s="8"/>
    </row>
    <row r="276" spans="1:20" s="32" customFormat="1" x14ac:dyDescent="0.35">
      <c r="A276" s="1"/>
      <c r="B276" s="1"/>
      <c r="C276" s="1"/>
      <c r="F276" s="1"/>
      <c r="H276" s="1"/>
      <c r="I276" s="26"/>
      <c r="J276" s="1"/>
      <c r="O276" s="47"/>
      <c r="R276" s="8"/>
      <c r="T276" s="8"/>
    </row>
    <row r="277" spans="1:20" s="32" customFormat="1" x14ac:dyDescent="0.35">
      <c r="A277" s="1"/>
      <c r="B277" s="1"/>
      <c r="C277" s="1"/>
      <c r="F277" s="1"/>
      <c r="H277" s="1"/>
      <c r="I277" s="26"/>
      <c r="J277" s="1"/>
      <c r="O277" s="47"/>
      <c r="R277" s="8"/>
      <c r="T277" s="8"/>
    </row>
    <row r="278" spans="1:20" s="32" customFormat="1" x14ac:dyDescent="0.35">
      <c r="A278" s="1"/>
      <c r="B278" s="1"/>
      <c r="C278" s="1"/>
      <c r="F278" s="1"/>
      <c r="H278" s="1"/>
      <c r="I278" s="26"/>
      <c r="J278" s="1"/>
      <c r="O278" s="47"/>
      <c r="R278" s="8"/>
      <c r="T278" s="8"/>
    </row>
    <row r="279" spans="1:20" s="32" customFormat="1" x14ac:dyDescent="0.35">
      <c r="A279" s="1"/>
      <c r="B279" s="1"/>
      <c r="C279" s="1"/>
      <c r="F279" s="1"/>
      <c r="H279" s="1"/>
      <c r="I279" s="26"/>
      <c r="J279" s="1"/>
      <c r="O279" s="47"/>
      <c r="R279" s="8"/>
      <c r="T279" s="8"/>
    </row>
    <row r="280" spans="1:20" s="32" customFormat="1" x14ac:dyDescent="0.35">
      <c r="A280" s="1"/>
      <c r="B280" s="1"/>
      <c r="C280" s="1"/>
      <c r="F280" s="1"/>
      <c r="H280" s="1"/>
      <c r="I280" s="26"/>
      <c r="J280" s="1"/>
      <c r="O280" s="47"/>
      <c r="R280" s="8"/>
      <c r="T280" s="8"/>
    </row>
    <row r="281" spans="1:20" s="32" customFormat="1" x14ac:dyDescent="0.35">
      <c r="A281" s="1"/>
      <c r="B281" s="1"/>
      <c r="C281" s="1"/>
      <c r="F281" s="1"/>
      <c r="H281" s="1"/>
      <c r="I281" s="26"/>
      <c r="J281" s="1"/>
      <c r="O281" s="47"/>
      <c r="R281" s="8"/>
      <c r="T281" s="8"/>
    </row>
    <row r="282" spans="1:20" s="32" customFormat="1" x14ac:dyDescent="0.35">
      <c r="A282" s="1"/>
      <c r="B282" s="1"/>
      <c r="C282" s="1"/>
      <c r="F282" s="1"/>
      <c r="H282" s="1"/>
      <c r="I282" s="26"/>
      <c r="J282" s="1"/>
      <c r="O282" s="47"/>
      <c r="R282" s="8"/>
      <c r="T282" s="8"/>
    </row>
    <row r="283" spans="1:20" s="32" customFormat="1" x14ac:dyDescent="0.35">
      <c r="A283" s="1"/>
      <c r="B283" s="1"/>
      <c r="C283" s="1"/>
      <c r="F283" s="1"/>
      <c r="H283" s="1"/>
      <c r="I283" s="26"/>
      <c r="J283" s="1"/>
      <c r="O283" s="47"/>
      <c r="R283" s="8"/>
      <c r="T283" s="8"/>
    </row>
    <row r="284" spans="1:20" s="32" customFormat="1" x14ac:dyDescent="0.35">
      <c r="A284" s="1"/>
      <c r="B284" s="1"/>
      <c r="C284" s="1"/>
      <c r="F284" s="1"/>
      <c r="H284" s="1"/>
      <c r="I284" s="26"/>
      <c r="J284" s="1"/>
      <c r="O284" s="47"/>
      <c r="R284" s="8"/>
      <c r="T284" s="8"/>
    </row>
    <row r="285" spans="1:20" s="32" customFormat="1" x14ac:dyDescent="0.35">
      <c r="A285" s="1"/>
      <c r="B285" s="1"/>
      <c r="C285" s="1"/>
      <c r="F285" s="1"/>
      <c r="H285" s="1"/>
      <c r="I285" s="26"/>
      <c r="J285" s="1"/>
      <c r="O285" s="47"/>
      <c r="R285" s="8"/>
      <c r="T285" s="8"/>
    </row>
    <row r="286" spans="1:20" s="32" customFormat="1" x14ac:dyDescent="0.35">
      <c r="A286" s="1"/>
      <c r="B286" s="1"/>
      <c r="C286" s="1"/>
      <c r="F286" s="1"/>
      <c r="H286" s="1"/>
      <c r="I286" s="26"/>
      <c r="J286" s="1"/>
      <c r="O286" s="47"/>
      <c r="R286" s="8"/>
      <c r="T286" s="8"/>
    </row>
    <row r="287" spans="1:20" s="32" customFormat="1" x14ac:dyDescent="0.35">
      <c r="A287" s="1"/>
      <c r="B287" s="1"/>
      <c r="C287" s="1"/>
      <c r="F287" s="1"/>
      <c r="H287" s="1"/>
      <c r="I287" s="26"/>
      <c r="J287" s="1"/>
      <c r="O287" s="47"/>
      <c r="R287" s="8"/>
      <c r="T287" s="8"/>
    </row>
    <row r="288" spans="1:20" s="32" customFormat="1" x14ac:dyDescent="0.35">
      <c r="A288" s="1"/>
      <c r="B288" s="1"/>
      <c r="C288" s="1"/>
      <c r="F288" s="1"/>
      <c r="H288" s="1"/>
      <c r="I288" s="26"/>
      <c r="J288" s="1"/>
      <c r="O288" s="47"/>
      <c r="R288" s="8"/>
      <c r="T288" s="8"/>
    </row>
    <row r="289" spans="1:20" s="32" customFormat="1" x14ac:dyDescent="0.35">
      <c r="A289" s="1"/>
      <c r="B289" s="1"/>
      <c r="C289" s="1"/>
      <c r="F289" s="1"/>
      <c r="H289" s="1"/>
      <c r="I289" s="26"/>
      <c r="J289" s="1"/>
      <c r="O289" s="47"/>
      <c r="R289" s="8"/>
      <c r="T289" s="8"/>
    </row>
    <row r="290" spans="1:20" s="32" customFormat="1" x14ac:dyDescent="0.35">
      <c r="A290" s="1"/>
      <c r="B290" s="1"/>
      <c r="C290" s="1"/>
      <c r="F290" s="1"/>
      <c r="H290" s="1"/>
      <c r="I290" s="26"/>
      <c r="J290" s="1"/>
      <c r="O290" s="47"/>
      <c r="R290" s="8"/>
      <c r="T290" s="8"/>
    </row>
    <row r="291" spans="1:20" s="32" customFormat="1" x14ac:dyDescent="0.35">
      <c r="A291" s="1"/>
      <c r="B291" s="1"/>
      <c r="C291" s="1"/>
      <c r="F291" s="1"/>
      <c r="H291" s="1"/>
      <c r="I291" s="26"/>
      <c r="J291" s="1"/>
      <c r="O291" s="47"/>
      <c r="R291" s="8"/>
      <c r="T291" s="8"/>
    </row>
    <row r="292" spans="1:20" s="32" customFormat="1" x14ac:dyDescent="0.35">
      <c r="A292" s="1"/>
      <c r="B292" s="1"/>
      <c r="C292" s="1"/>
      <c r="F292" s="1"/>
      <c r="H292" s="1"/>
      <c r="I292" s="26"/>
      <c r="J292" s="1"/>
      <c r="O292" s="47"/>
      <c r="R292" s="8"/>
      <c r="T292" s="8"/>
    </row>
    <row r="293" spans="1:20" s="32" customFormat="1" x14ac:dyDescent="0.35">
      <c r="A293" s="1"/>
      <c r="B293" s="1"/>
      <c r="C293" s="1"/>
      <c r="F293" s="1"/>
      <c r="H293" s="1"/>
      <c r="I293" s="26"/>
      <c r="J293" s="1"/>
      <c r="O293" s="47"/>
      <c r="R293" s="8"/>
      <c r="T293" s="8"/>
    </row>
    <row r="294" spans="1:20" s="32" customFormat="1" x14ac:dyDescent="0.35">
      <c r="A294" s="1"/>
      <c r="B294" s="1"/>
      <c r="C294" s="1"/>
      <c r="F294" s="1"/>
      <c r="H294" s="1"/>
      <c r="I294" s="26"/>
      <c r="J294" s="1"/>
      <c r="O294" s="47"/>
      <c r="R294" s="8"/>
      <c r="T294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F444E-616B-4594-B222-07EEF0DCD925}">
  <dimension ref="A1:H203"/>
  <sheetViews>
    <sheetView tabSelected="1" workbookViewId="0">
      <pane ySplit="1" topLeftCell="A185" activePane="bottomLeft" state="frozen"/>
      <selection pane="bottomLeft" activeCell="F201" sqref="F201"/>
    </sheetView>
  </sheetViews>
  <sheetFormatPr defaultRowHeight="14.5" x14ac:dyDescent="0.35"/>
  <cols>
    <col min="1" max="1" width="33.6328125" customWidth="1"/>
    <col min="2" max="2" width="5.08984375" customWidth="1"/>
    <col min="3" max="3" width="15.54296875" customWidth="1"/>
    <col min="4" max="4" width="9.08984375" customWidth="1"/>
    <col min="5" max="5" width="7.453125" customWidth="1"/>
    <col min="6" max="6" width="12" customWidth="1"/>
    <col min="7" max="7" width="13.81640625" customWidth="1"/>
    <col min="8" max="8" width="7.36328125" customWidth="1"/>
  </cols>
  <sheetData>
    <row r="1" spans="1:8" x14ac:dyDescent="0.35">
      <c r="A1" t="s">
        <v>172</v>
      </c>
      <c r="B1" t="s">
        <v>2</v>
      </c>
      <c r="C1" t="s">
        <v>191</v>
      </c>
      <c r="D1" t="s">
        <v>71</v>
      </c>
      <c r="E1" t="s">
        <v>72</v>
      </c>
      <c r="F1" t="s">
        <v>192</v>
      </c>
      <c r="G1" t="s">
        <v>193</v>
      </c>
      <c r="H1" t="s">
        <v>194</v>
      </c>
    </row>
    <row r="2" spans="1:8" x14ac:dyDescent="0.35">
      <c r="A2" t="s">
        <v>173</v>
      </c>
      <c r="B2">
        <v>2022</v>
      </c>
      <c r="C2" s="67">
        <v>1.5602049</v>
      </c>
      <c r="D2" s="67">
        <v>0.72221999999999997</v>
      </c>
      <c r="E2" s="66">
        <v>4</v>
      </c>
      <c r="F2" s="67">
        <v>0.41487193</v>
      </c>
      <c r="G2" s="67">
        <v>0.31375746999999998</v>
      </c>
      <c r="H2" s="67">
        <v>30.88</v>
      </c>
    </row>
    <row r="3" spans="1:8" x14ac:dyDescent="0.35">
      <c r="B3">
        <v>2023</v>
      </c>
      <c r="C3" s="67">
        <v>1.38053</v>
      </c>
      <c r="D3" s="67">
        <v>0.83333000000000002</v>
      </c>
      <c r="E3" s="66">
        <v>4</v>
      </c>
      <c r="F3" s="67">
        <v>0.40019052999999999</v>
      </c>
      <c r="G3" s="67">
        <v>0.41394069999999999</v>
      </c>
      <c r="H3" s="67">
        <v>31.02</v>
      </c>
    </row>
    <row r="4" spans="1:8" x14ac:dyDescent="0.35">
      <c r="B4">
        <v>2024</v>
      </c>
      <c r="C4" s="67">
        <v>1.1685327000000001</v>
      </c>
      <c r="D4" s="67">
        <v>0.83333000000000002</v>
      </c>
      <c r="E4" s="66">
        <v>5</v>
      </c>
      <c r="F4" s="67">
        <v>0.42084813999999998</v>
      </c>
      <c r="G4" s="67">
        <v>0.37557766999999997</v>
      </c>
      <c r="H4" s="67">
        <v>31.05</v>
      </c>
    </row>
    <row r="5" spans="1:8" x14ac:dyDescent="0.35">
      <c r="A5" t="s">
        <v>174</v>
      </c>
      <c r="B5">
        <v>2022</v>
      </c>
      <c r="C5" s="67">
        <v>1.1433518</v>
      </c>
      <c r="D5" s="67">
        <v>0.72221999999999997</v>
      </c>
      <c r="E5" s="66">
        <v>4</v>
      </c>
      <c r="F5" s="67">
        <v>0.50798772999999997</v>
      </c>
      <c r="G5" s="67">
        <v>0.68817291000000003</v>
      </c>
      <c r="H5" s="67">
        <v>29.28</v>
      </c>
    </row>
    <row r="6" spans="1:8" x14ac:dyDescent="0.35">
      <c r="B6">
        <v>2023</v>
      </c>
      <c r="C6" s="67">
        <v>0.91739961999999997</v>
      </c>
      <c r="D6" s="67">
        <v>0.72221999999999997</v>
      </c>
      <c r="E6" s="66">
        <v>4</v>
      </c>
      <c r="F6" s="67">
        <v>0.36911768</v>
      </c>
      <c r="G6" s="67">
        <v>0.53576765999999998</v>
      </c>
      <c r="H6" s="67">
        <v>29.21</v>
      </c>
    </row>
    <row r="7" spans="1:8" x14ac:dyDescent="0.35">
      <c r="B7">
        <v>2024</v>
      </c>
      <c r="C7" s="67">
        <v>0.74692599999999998</v>
      </c>
      <c r="D7" s="67">
        <v>0.72221999999999997</v>
      </c>
      <c r="E7" s="66">
        <v>4</v>
      </c>
      <c r="F7" s="67">
        <v>0.34012448000000001</v>
      </c>
      <c r="G7" s="67">
        <v>0.50162762000000005</v>
      </c>
      <c r="H7" s="67">
        <v>29.22</v>
      </c>
    </row>
    <row r="8" spans="1:8" x14ac:dyDescent="0.35">
      <c r="A8" t="s">
        <v>175</v>
      </c>
      <c r="B8">
        <v>2022</v>
      </c>
      <c r="C8" s="67">
        <v>1.0464289</v>
      </c>
      <c r="D8" s="67">
        <v>0.72221999999999997</v>
      </c>
      <c r="E8" s="66">
        <v>5</v>
      </c>
      <c r="F8" s="67">
        <v>0.44660811</v>
      </c>
      <c r="G8" s="67">
        <v>0.80256673999999995</v>
      </c>
      <c r="H8" s="67">
        <v>30.69</v>
      </c>
    </row>
    <row r="9" spans="1:8" x14ac:dyDescent="0.35">
      <c r="B9">
        <v>2023</v>
      </c>
      <c r="C9" s="67">
        <v>0.98317874000000005</v>
      </c>
      <c r="D9" s="67">
        <v>0.77778000000000003</v>
      </c>
      <c r="E9" s="66">
        <v>4</v>
      </c>
      <c r="F9" s="67">
        <v>0.45218633000000003</v>
      </c>
      <c r="G9" s="67">
        <v>0.77588360999999995</v>
      </c>
      <c r="H9" s="67">
        <v>30.73</v>
      </c>
    </row>
    <row r="10" spans="1:8" x14ac:dyDescent="0.35">
      <c r="B10">
        <v>2024</v>
      </c>
      <c r="C10" s="67">
        <v>0.70780810000000005</v>
      </c>
      <c r="D10" s="67">
        <v>0.77778000000000003</v>
      </c>
      <c r="E10" s="66">
        <v>5</v>
      </c>
      <c r="F10" s="67">
        <v>0.39354012999999999</v>
      </c>
      <c r="G10" s="67">
        <v>0.62971756999999995</v>
      </c>
      <c r="H10" s="67">
        <v>30.68</v>
      </c>
    </row>
    <row r="11" spans="1:8" x14ac:dyDescent="0.35">
      <c r="A11" t="s">
        <v>176</v>
      </c>
      <c r="B11">
        <v>2022</v>
      </c>
      <c r="C11" s="67">
        <v>0.93613809999999997</v>
      </c>
      <c r="D11" s="67">
        <v>0.77778000000000003</v>
      </c>
      <c r="E11" s="66">
        <v>4</v>
      </c>
      <c r="F11" s="67">
        <v>0.47345683999999999</v>
      </c>
      <c r="G11" s="67">
        <v>0.83630572999999997</v>
      </c>
      <c r="H11" s="67">
        <v>32.049999999999997</v>
      </c>
    </row>
    <row r="12" spans="1:8" x14ac:dyDescent="0.35">
      <c r="B12">
        <v>2023</v>
      </c>
      <c r="C12" s="67">
        <v>0.91638872000000005</v>
      </c>
      <c r="D12" s="67">
        <v>0.83333000000000002</v>
      </c>
      <c r="E12" s="66">
        <v>4</v>
      </c>
      <c r="F12" s="67">
        <v>0.47310123999999998</v>
      </c>
      <c r="G12" s="67">
        <v>0.66462142999999996</v>
      </c>
      <c r="H12" s="67">
        <v>32.04</v>
      </c>
    </row>
    <row r="13" spans="1:8" x14ac:dyDescent="0.35">
      <c r="B13">
        <v>2024</v>
      </c>
      <c r="C13" s="67">
        <v>0.63445229999999997</v>
      </c>
      <c r="D13" s="67">
        <v>0.83333000000000002</v>
      </c>
      <c r="E13" s="66">
        <v>5</v>
      </c>
      <c r="F13" s="67">
        <v>0.39347692000000001</v>
      </c>
      <c r="G13" s="67">
        <v>0.55138498999999996</v>
      </c>
      <c r="H13" s="67">
        <v>31.97</v>
      </c>
    </row>
    <row r="14" spans="1:8" x14ac:dyDescent="0.35">
      <c r="A14" t="s">
        <v>177</v>
      </c>
      <c r="B14">
        <v>2022</v>
      </c>
      <c r="C14" s="67">
        <v>0.82435298000000001</v>
      </c>
      <c r="D14" s="67">
        <v>0.55556000000000005</v>
      </c>
      <c r="E14" s="66">
        <v>3</v>
      </c>
      <c r="F14" s="67">
        <v>0.51611675000000001</v>
      </c>
      <c r="G14" s="67">
        <v>1.0119324999999999</v>
      </c>
      <c r="H14" s="67">
        <v>29.64</v>
      </c>
    </row>
    <row r="15" spans="1:8" x14ac:dyDescent="0.35">
      <c r="B15">
        <v>2023</v>
      </c>
      <c r="C15" s="67">
        <v>0.77600155999999998</v>
      </c>
      <c r="D15" s="67">
        <v>0.61111000000000004</v>
      </c>
      <c r="E15" s="66">
        <v>3</v>
      </c>
      <c r="F15" s="67">
        <v>0.45445963</v>
      </c>
      <c r="G15" s="67">
        <v>0.76871708999999999</v>
      </c>
      <c r="H15" s="67">
        <v>29.65</v>
      </c>
    </row>
    <row r="16" spans="1:8" x14ac:dyDescent="0.35">
      <c r="B16">
        <v>2024</v>
      </c>
      <c r="C16" s="67">
        <v>0.63809378000000005</v>
      </c>
      <c r="D16" s="67">
        <v>0.66666999999999998</v>
      </c>
      <c r="E16" s="66">
        <v>3</v>
      </c>
      <c r="F16" s="67">
        <v>0.38890714999999998</v>
      </c>
      <c r="G16" s="67">
        <v>0.61824641999999996</v>
      </c>
      <c r="H16" s="67">
        <v>29.61</v>
      </c>
    </row>
    <row r="17" spans="1:8" x14ac:dyDescent="0.35">
      <c r="A17" t="s">
        <v>178</v>
      </c>
      <c r="B17">
        <v>2022</v>
      </c>
      <c r="C17" s="67">
        <v>1.1463365999999999</v>
      </c>
      <c r="D17" s="67">
        <v>0.5</v>
      </c>
      <c r="E17" s="66">
        <v>3</v>
      </c>
      <c r="F17" s="67">
        <v>0.42595839000000002</v>
      </c>
      <c r="G17" s="67">
        <v>0.43522126</v>
      </c>
      <c r="H17" s="67">
        <v>28.83</v>
      </c>
    </row>
    <row r="18" spans="1:8" x14ac:dyDescent="0.35">
      <c r="B18">
        <v>2023</v>
      </c>
      <c r="C18" s="67">
        <v>0.96844797999999999</v>
      </c>
      <c r="D18" s="67">
        <v>0.5</v>
      </c>
      <c r="E18" s="66">
        <v>3</v>
      </c>
      <c r="F18" s="67">
        <v>0.38090766999999998</v>
      </c>
      <c r="G18" s="67">
        <v>0.42068865</v>
      </c>
      <c r="H18" s="67">
        <v>28.87</v>
      </c>
    </row>
    <row r="19" spans="1:8" x14ac:dyDescent="0.35">
      <c r="B19">
        <v>2024</v>
      </c>
      <c r="C19" s="67">
        <v>0.97570486999999995</v>
      </c>
      <c r="D19" s="67">
        <v>0.5</v>
      </c>
      <c r="E19" s="66">
        <v>3</v>
      </c>
      <c r="F19" s="67">
        <v>0.3954067</v>
      </c>
      <c r="G19" s="67">
        <v>0.39908784000000003</v>
      </c>
      <c r="H19" s="67">
        <v>28.84</v>
      </c>
    </row>
    <row r="20" spans="1:8" x14ac:dyDescent="0.35">
      <c r="A20" t="s">
        <v>179</v>
      </c>
      <c r="B20">
        <v>2022</v>
      </c>
      <c r="C20" s="67">
        <v>1.6713832</v>
      </c>
      <c r="D20" s="67">
        <v>0.61111000000000004</v>
      </c>
      <c r="E20" s="66">
        <v>2</v>
      </c>
      <c r="F20" s="67">
        <v>0.88142577</v>
      </c>
      <c r="G20" s="67">
        <v>5.5408892999999999</v>
      </c>
      <c r="H20" s="67">
        <v>27.32</v>
      </c>
    </row>
    <row r="21" spans="1:8" x14ac:dyDescent="0.35">
      <c r="B21">
        <v>2023</v>
      </c>
      <c r="C21" s="67">
        <v>1.1520273999999999</v>
      </c>
      <c r="D21" s="67">
        <v>0.61111000000000004</v>
      </c>
      <c r="E21" s="66">
        <v>3</v>
      </c>
      <c r="F21" s="67">
        <v>0.89939177999999997</v>
      </c>
      <c r="G21" s="67">
        <v>5.5408892999999999</v>
      </c>
      <c r="H21" s="67">
        <v>27.31</v>
      </c>
    </row>
    <row r="22" spans="1:8" x14ac:dyDescent="0.35">
      <c r="B22">
        <v>2024</v>
      </c>
      <c r="C22" s="67">
        <v>1.3914864</v>
      </c>
      <c r="D22" s="67">
        <v>0.61111000000000004</v>
      </c>
      <c r="E22" s="66">
        <v>3</v>
      </c>
      <c r="F22" s="67">
        <v>0.93156145999999995</v>
      </c>
      <c r="G22" s="67">
        <v>5.5408892999999999</v>
      </c>
      <c r="H22" s="67">
        <v>27.28</v>
      </c>
    </row>
    <row r="23" spans="1:8" x14ac:dyDescent="0.35">
      <c r="A23" t="s">
        <v>180</v>
      </c>
      <c r="B23">
        <v>2022</v>
      </c>
      <c r="C23" s="67">
        <v>0.97839251000000005</v>
      </c>
      <c r="D23" s="67">
        <v>0.66666999999999998</v>
      </c>
      <c r="E23" s="66">
        <v>3</v>
      </c>
      <c r="F23" s="67">
        <v>0.46106554999999999</v>
      </c>
      <c r="G23" s="67">
        <v>0.60755974000000001</v>
      </c>
      <c r="H23" s="67">
        <v>28.39</v>
      </c>
    </row>
    <row r="24" spans="1:8" x14ac:dyDescent="0.35">
      <c r="B24">
        <v>2023</v>
      </c>
      <c r="C24" s="67">
        <v>1.6112769</v>
      </c>
      <c r="D24" s="67">
        <v>0.72221999999999997</v>
      </c>
      <c r="E24" s="66">
        <v>3</v>
      </c>
      <c r="F24" s="67">
        <v>0.44607870999999999</v>
      </c>
      <c r="G24" s="67">
        <v>0.67113436999999998</v>
      </c>
      <c r="H24" s="67">
        <v>28.6</v>
      </c>
    </row>
    <row r="25" spans="1:8" x14ac:dyDescent="0.35">
      <c r="B25">
        <v>2024</v>
      </c>
      <c r="C25" s="67">
        <v>2.1973769000000001</v>
      </c>
      <c r="D25" s="67">
        <v>0.72221999999999997</v>
      </c>
      <c r="E25" s="66">
        <v>3</v>
      </c>
      <c r="F25" s="67">
        <v>0.49650381999999998</v>
      </c>
      <c r="G25" s="67">
        <v>0.54125228000000003</v>
      </c>
      <c r="H25" s="67">
        <v>28.8</v>
      </c>
    </row>
    <row r="26" spans="1:8" x14ac:dyDescent="0.35">
      <c r="A26" t="s">
        <v>181</v>
      </c>
      <c r="B26">
        <v>2022</v>
      </c>
      <c r="C26" s="67">
        <v>1.1594032999999999</v>
      </c>
      <c r="D26" s="67">
        <v>0.61111000000000004</v>
      </c>
      <c r="E26" s="66">
        <v>3</v>
      </c>
      <c r="F26" s="67">
        <v>0.52347792999999998</v>
      </c>
      <c r="G26" s="67">
        <v>0.98750835000000003</v>
      </c>
      <c r="H26" s="67">
        <v>28.38</v>
      </c>
    </row>
    <row r="27" spans="1:8" x14ac:dyDescent="0.35">
      <c r="B27">
        <v>2023</v>
      </c>
      <c r="C27" s="67">
        <v>0.97581271000000003</v>
      </c>
      <c r="D27" s="67">
        <v>0.61111000000000004</v>
      </c>
      <c r="E27" s="66">
        <v>3</v>
      </c>
      <c r="F27" s="67">
        <v>0.43130963</v>
      </c>
      <c r="G27" s="67">
        <v>0.74905796999999996</v>
      </c>
      <c r="H27" s="67">
        <v>26.15</v>
      </c>
    </row>
    <row r="28" spans="1:8" x14ac:dyDescent="0.35">
      <c r="B28">
        <v>2024</v>
      </c>
      <c r="C28" s="67">
        <v>0.82982089000000003</v>
      </c>
      <c r="D28" s="67">
        <v>0.66666999999999998</v>
      </c>
      <c r="E28" s="66">
        <v>3</v>
      </c>
      <c r="F28" s="67">
        <v>0.52579027</v>
      </c>
      <c r="G28" s="67">
        <v>1.0317552000000001</v>
      </c>
      <c r="H28" s="67">
        <v>28.64</v>
      </c>
    </row>
    <row r="29" spans="1:8" x14ac:dyDescent="0.35">
      <c r="A29" t="s">
        <v>182</v>
      </c>
      <c r="B29">
        <v>2022</v>
      </c>
      <c r="C29" s="67">
        <v>1.1075835000000001</v>
      </c>
      <c r="D29" s="67">
        <v>0.55556000000000005</v>
      </c>
      <c r="E29" s="66">
        <v>3</v>
      </c>
      <c r="F29" s="67">
        <v>0.86279916999999995</v>
      </c>
      <c r="G29" s="67">
        <v>4.2265088000000004</v>
      </c>
      <c r="H29" s="67">
        <v>28.07</v>
      </c>
    </row>
    <row r="30" spans="1:8" x14ac:dyDescent="0.35">
      <c r="B30">
        <v>2023</v>
      </c>
      <c r="C30" s="67">
        <v>1.0875189999999999</v>
      </c>
      <c r="D30" s="67">
        <v>0.55556000000000005</v>
      </c>
      <c r="E30" s="66">
        <v>3</v>
      </c>
      <c r="F30" s="67">
        <v>0.83451430000000004</v>
      </c>
      <c r="G30" s="67">
        <v>4.3915414000000004</v>
      </c>
      <c r="H30" s="67">
        <v>28.02</v>
      </c>
    </row>
    <row r="31" spans="1:8" x14ac:dyDescent="0.35">
      <c r="B31">
        <v>2024</v>
      </c>
      <c r="C31" s="67">
        <v>1.0490101000000001</v>
      </c>
      <c r="D31" s="67">
        <v>0.55556000000000005</v>
      </c>
      <c r="E31" s="66">
        <v>3</v>
      </c>
      <c r="F31" s="67">
        <v>0.85559218000000004</v>
      </c>
      <c r="G31" s="67">
        <v>5.3299314999999998</v>
      </c>
      <c r="H31" s="67">
        <v>27.85</v>
      </c>
    </row>
    <row r="32" spans="1:8" x14ac:dyDescent="0.35">
      <c r="A32" t="s">
        <v>183</v>
      </c>
      <c r="B32">
        <v>2022</v>
      </c>
      <c r="C32" s="67">
        <v>0.67906696</v>
      </c>
      <c r="D32" s="67">
        <v>0.77778000000000003</v>
      </c>
      <c r="E32" s="66">
        <v>3</v>
      </c>
      <c r="F32" s="67">
        <v>0.44714797000000001</v>
      </c>
      <c r="G32" s="67">
        <v>0.7869083</v>
      </c>
      <c r="H32" s="67">
        <v>29.63</v>
      </c>
    </row>
    <row r="33" spans="1:8" x14ac:dyDescent="0.35">
      <c r="B33">
        <v>2023</v>
      </c>
      <c r="C33" s="67">
        <v>0.68387748999999998</v>
      </c>
      <c r="D33" s="67">
        <v>0.77778000000000003</v>
      </c>
      <c r="E33" s="66">
        <v>3</v>
      </c>
      <c r="F33" s="67">
        <v>0.44285364999999999</v>
      </c>
      <c r="G33" s="67">
        <v>0.72609588000000003</v>
      </c>
      <c r="H33" s="67">
        <v>29.71</v>
      </c>
    </row>
    <row r="34" spans="1:8" x14ac:dyDescent="0.35">
      <c r="B34">
        <v>2024</v>
      </c>
      <c r="C34" s="67">
        <v>0.62414168999999997</v>
      </c>
      <c r="D34" s="67">
        <v>0.77778000000000003</v>
      </c>
      <c r="E34" s="66">
        <v>3</v>
      </c>
      <c r="F34" s="67">
        <v>0.45269821999999998</v>
      </c>
      <c r="G34" s="67">
        <v>0.64469399999999999</v>
      </c>
      <c r="H34" s="67">
        <v>29.75</v>
      </c>
    </row>
    <row r="35" spans="1:8" x14ac:dyDescent="0.35">
      <c r="A35" t="s">
        <v>184</v>
      </c>
      <c r="B35">
        <v>2022</v>
      </c>
      <c r="C35" s="67">
        <v>0.95317262999999997</v>
      </c>
      <c r="D35" s="67">
        <v>0.77778000000000003</v>
      </c>
      <c r="E35" s="66">
        <v>3</v>
      </c>
      <c r="F35" s="67">
        <v>0.85020399000000002</v>
      </c>
      <c r="G35" s="67">
        <v>4.7229716000000002</v>
      </c>
      <c r="H35" s="67">
        <v>31.53</v>
      </c>
    </row>
    <row r="36" spans="1:8" x14ac:dyDescent="0.35">
      <c r="B36">
        <v>2023</v>
      </c>
      <c r="C36" s="67">
        <v>0.88808648000000001</v>
      </c>
      <c r="D36" s="67">
        <v>0.77778000000000003</v>
      </c>
      <c r="E36" s="66">
        <v>3</v>
      </c>
      <c r="F36" s="67">
        <v>0.86168098999999998</v>
      </c>
      <c r="G36" s="67">
        <v>4.7350709999999996</v>
      </c>
      <c r="H36" s="67">
        <v>31.41</v>
      </c>
    </row>
    <row r="37" spans="1:8" x14ac:dyDescent="0.35">
      <c r="B37">
        <v>2024</v>
      </c>
      <c r="C37" s="67">
        <v>0.89143791000000006</v>
      </c>
      <c r="D37" s="67">
        <v>0.77778000000000003</v>
      </c>
      <c r="E37" s="66">
        <v>3</v>
      </c>
      <c r="F37" s="67">
        <v>0.88430969999999998</v>
      </c>
      <c r="G37" s="67">
        <v>5.5408892999999999</v>
      </c>
      <c r="H37" s="67">
        <v>31.48</v>
      </c>
    </row>
    <row r="38" spans="1:8" x14ac:dyDescent="0.35">
      <c r="A38" t="s">
        <v>185</v>
      </c>
      <c r="B38">
        <v>2022</v>
      </c>
      <c r="C38" s="67">
        <v>0.94845924000000004</v>
      </c>
      <c r="D38" s="67">
        <v>0.55556000000000005</v>
      </c>
      <c r="E38" s="66">
        <v>2</v>
      </c>
      <c r="F38" s="67">
        <v>0.39628585999999999</v>
      </c>
      <c r="G38" s="67">
        <v>0.44161043</v>
      </c>
      <c r="H38" s="67">
        <v>27.2</v>
      </c>
    </row>
    <row r="39" spans="1:8" x14ac:dyDescent="0.35">
      <c r="B39">
        <v>2023</v>
      </c>
      <c r="C39" s="67">
        <v>0.74115620000000004</v>
      </c>
      <c r="D39" s="67">
        <v>0.55556000000000005</v>
      </c>
      <c r="E39" s="66">
        <v>2</v>
      </c>
      <c r="F39" s="67">
        <v>0.42484938</v>
      </c>
      <c r="G39" s="67">
        <v>0.51182656000000004</v>
      </c>
      <c r="H39" s="67">
        <v>27.33</v>
      </c>
    </row>
    <row r="40" spans="1:8" x14ac:dyDescent="0.35">
      <c r="B40">
        <v>2024</v>
      </c>
      <c r="C40" s="67">
        <v>0.71652475000000004</v>
      </c>
      <c r="D40" s="67">
        <v>0.55556000000000005</v>
      </c>
      <c r="E40" s="66">
        <v>2</v>
      </c>
      <c r="F40" s="67">
        <v>0.50015175000000001</v>
      </c>
      <c r="G40" s="67">
        <v>0.42534086999999998</v>
      </c>
      <c r="H40" s="67">
        <v>27.29</v>
      </c>
    </row>
    <row r="41" spans="1:8" x14ac:dyDescent="0.35">
      <c r="A41" t="s">
        <v>186</v>
      </c>
      <c r="B41">
        <v>2022</v>
      </c>
      <c r="C41" s="67">
        <v>1.2259051999999999</v>
      </c>
      <c r="D41" s="67">
        <v>0.55556000000000005</v>
      </c>
      <c r="E41" s="66">
        <v>3</v>
      </c>
      <c r="F41" s="67">
        <v>0.82096276999999995</v>
      </c>
      <c r="G41" s="67">
        <v>2.2782806999999998</v>
      </c>
      <c r="H41" s="67">
        <v>28.76</v>
      </c>
    </row>
    <row r="42" spans="1:8" x14ac:dyDescent="0.35">
      <c r="B42">
        <v>2023</v>
      </c>
      <c r="C42" s="67">
        <v>0.95581594999999997</v>
      </c>
      <c r="D42" s="67">
        <v>0.55556000000000005</v>
      </c>
      <c r="E42" s="66">
        <v>3</v>
      </c>
      <c r="F42" s="67">
        <v>0.66032442000000002</v>
      </c>
      <c r="G42" s="67">
        <v>1.4357192000000001</v>
      </c>
      <c r="H42" s="67">
        <v>28.37</v>
      </c>
    </row>
    <row r="43" spans="1:8" x14ac:dyDescent="0.35">
      <c r="B43">
        <v>2024</v>
      </c>
      <c r="C43" s="67">
        <v>0.85951648999999997</v>
      </c>
      <c r="D43" s="67">
        <v>0.55556000000000005</v>
      </c>
      <c r="E43" s="66">
        <v>3</v>
      </c>
      <c r="F43" s="67">
        <v>0.64951181000000002</v>
      </c>
      <c r="G43" s="67">
        <v>1.4219278</v>
      </c>
      <c r="H43" s="67">
        <v>28.41</v>
      </c>
    </row>
    <row r="44" spans="1:8" x14ac:dyDescent="0.35">
      <c r="A44" t="s">
        <v>187</v>
      </c>
      <c r="B44">
        <v>2022</v>
      </c>
      <c r="C44" s="67">
        <v>1.2749986</v>
      </c>
      <c r="D44" s="67">
        <v>0.61111000000000004</v>
      </c>
      <c r="E44" s="66">
        <v>2</v>
      </c>
      <c r="F44" s="67">
        <v>0.61961312999999996</v>
      </c>
      <c r="G44" s="67">
        <v>1.1758781</v>
      </c>
      <c r="H44" s="67">
        <v>29.72</v>
      </c>
    </row>
    <row r="45" spans="1:8" x14ac:dyDescent="0.35">
      <c r="B45">
        <v>2023</v>
      </c>
      <c r="C45" s="67">
        <v>1.1196725000000001</v>
      </c>
      <c r="D45" s="67">
        <v>0.66666999999999998</v>
      </c>
      <c r="E45" s="66">
        <v>3</v>
      </c>
      <c r="F45" s="67">
        <v>0.59561509999999995</v>
      </c>
      <c r="G45" s="67">
        <v>1.0915916000000001</v>
      </c>
      <c r="H45" s="67">
        <v>29.68</v>
      </c>
    </row>
    <row r="46" spans="1:8" x14ac:dyDescent="0.35">
      <c r="B46">
        <v>2024</v>
      </c>
      <c r="C46" s="67">
        <v>1.0636805</v>
      </c>
      <c r="D46" s="67">
        <v>0.66666999999999998</v>
      </c>
      <c r="E46" s="66">
        <v>3</v>
      </c>
      <c r="F46" s="67">
        <v>0.57536697000000003</v>
      </c>
      <c r="G46" s="67">
        <v>1.1157868</v>
      </c>
      <c r="H46" s="67">
        <v>29.71</v>
      </c>
    </row>
    <row r="47" spans="1:8" x14ac:dyDescent="0.35">
      <c r="A47" t="s">
        <v>188</v>
      </c>
      <c r="B47">
        <v>2022</v>
      </c>
      <c r="C47" s="67">
        <v>3.7293848999999999</v>
      </c>
      <c r="D47" s="67">
        <v>0.61111000000000004</v>
      </c>
      <c r="E47" s="66">
        <v>4</v>
      </c>
      <c r="F47" s="67">
        <v>0.31392871999999999</v>
      </c>
      <c r="G47" s="67">
        <v>0.12712810999999999</v>
      </c>
      <c r="H47" s="67">
        <v>30.01</v>
      </c>
    </row>
    <row r="48" spans="1:8" x14ac:dyDescent="0.35">
      <c r="B48">
        <v>2023</v>
      </c>
      <c r="C48" s="67">
        <v>2.8854942000000001</v>
      </c>
      <c r="D48" s="67">
        <v>0.61111000000000004</v>
      </c>
      <c r="E48" s="66">
        <v>4</v>
      </c>
      <c r="F48" s="67">
        <v>0.22172874000000001</v>
      </c>
      <c r="G48" s="67">
        <v>0.12553539</v>
      </c>
      <c r="H48" s="67">
        <v>30.04</v>
      </c>
    </row>
    <row r="49" spans="1:8" x14ac:dyDescent="0.35">
      <c r="B49">
        <v>2024</v>
      </c>
      <c r="C49" s="67">
        <v>2.3696389999999998</v>
      </c>
      <c r="D49" s="67">
        <v>0.61111000000000004</v>
      </c>
      <c r="E49" s="66">
        <v>4</v>
      </c>
      <c r="F49" s="67">
        <v>0.33980602999999998</v>
      </c>
      <c r="G49" s="67">
        <v>0.14837135000000001</v>
      </c>
      <c r="H49" s="67">
        <v>30.03</v>
      </c>
    </row>
    <row r="50" spans="1:8" x14ac:dyDescent="0.35">
      <c r="A50" t="s">
        <v>189</v>
      </c>
      <c r="B50">
        <v>2022</v>
      </c>
      <c r="C50" s="67">
        <v>0.49165587999999999</v>
      </c>
      <c r="D50" s="67">
        <v>0.77778000000000003</v>
      </c>
      <c r="E50" s="66">
        <v>2</v>
      </c>
      <c r="F50" s="67">
        <v>0.27707709000000003</v>
      </c>
      <c r="G50" s="67">
        <v>0.22407483</v>
      </c>
      <c r="H50" s="67">
        <v>25.65</v>
      </c>
    </row>
    <row r="51" spans="1:8" x14ac:dyDescent="0.35">
      <c r="B51">
        <v>2023</v>
      </c>
      <c r="C51" s="67">
        <v>1.6255520999999999</v>
      </c>
      <c r="D51" s="67">
        <v>0.77778000000000003</v>
      </c>
      <c r="E51" s="66">
        <v>3</v>
      </c>
      <c r="F51" s="67">
        <v>0.28839431999999998</v>
      </c>
      <c r="G51" s="67">
        <v>0.33435862</v>
      </c>
      <c r="H51" s="67">
        <v>25.72</v>
      </c>
    </row>
    <row r="52" spans="1:8" x14ac:dyDescent="0.35">
      <c r="B52">
        <v>2024</v>
      </c>
      <c r="C52" s="67">
        <v>0.95144618999999997</v>
      </c>
      <c r="D52" s="67">
        <v>0.83333000000000002</v>
      </c>
      <c r="E52" s="66">
        <v>3</v>
      </c>
      <c r="F52" s="67">
        <v>0.36832905999999999</v>
      </c>
      <c r="G52" s="67">
        <v>0.47635134000000001</v>
      </c>
      <c r="H52" s="67">
        <v>25.86</v>
      </c>
    </row>
    <row r="53" spans="1:8" x14ac:dyDescent="0.35">
      <c r="A53" t="s">
        <v>190</v>
      </c>
      <c r="B53">
        <v>2022</v>
      </c>
      <c r="C53" s="67">
        <v>3.4533252999999999</v>
      </c>
      <c r="D53" s="67">
        <v>0.83333000000000002</v>
      </c>
      <c r="E53" s="66">
        <v>4</v>
      </c>
      <c r="F53" s="67">
        <v>0.71497571000000004</v>
      </c>
      <c r="G53" s="67">
        <v>0.75496083000000003</v>
      </c>
      <c r="H53" s="67">
        <v>31.93</v>
      </c>
    </row>
    <row r="54" spans="1:8" x14ac:dyDescent="0.35">
      <c r="B54">
        <v>2023</v>
      </c>
      <c r="C54" s="67">
        <v>5.7272781999999998</v>
      </c>
      <c r="D54" s="67">
        <v>0.83333000000000002</v>
      </c>
      <c r="E54" s="66">
        <v>5</v>
      </c>
      <c r="F54" s="67">
        <v>0.72319595999999997</v>
      </c>
      <c r="G54" s="67">
        <v>0.87529710000000005</v>
      </c>
      <c r="H54" s="67">
        <v>32.090000000000003</v>
      </c>
    </row>
    <row r="55" spans="1:8" x14ac:dyDescent="0.35">
      <c r="B55">
        <v>2024</v>
      </c>
      <c r="C55" s="67">
        <v>6.4000949</v>
      </c>
      <c r="D55" s="67">
        <v>0.83333000000000002</v>
      </c>
      <c r="E55" s="66">
        <v>4</v>
      </c>
      <c r="F55" s="67">
        <v>0.72327936000000004</v>
      </c>
      <c r="G55" s="67">
        <v>0.92954718999999997</v>
      </c>
      <c r="H55" s="67">
        <v>32.159999999999997</v>
      </c>
    </row>
    <row r="56" spans="1:8" x14ac:dyDescent="0.35">
      <c r="A56" t="s">
        <v>127</v>
      </c>
      <c r="B56">
        <v>2022</v>
      </c>
      <c r="C56" s="67">
        <v>0.89960408999999997</v>
      </c>
      <c r="D56" s="67">
        <v>0.44444</v>
      </c>
      <c r="E56" s="66">
        <v>3</v>
      </c>
      <c r="F56" s="67">
        <v>0.39926436999999998</v>
      </c>
      <c r="G56" s="67">
        <v>0.15502424000000001</v>
      </c>
      <c r="H56" s="67">
        <v>29.24</v>
      </c>
    </row>
    <row r="57" spans="1:8" x14ac:dyDescent="0.35">
      <c r="B57">
        <v>2023</v>
      </c>
      <c r="C57" s="67">
        <v>0.74204216000000001</v>
      </c>
      <c r="D57" s="67">
        <v>0.44444</v>
      </c>
      <c r="E57" s="66">
        <v>3</v>
      </c>
      <c r="F57" s="67">
        <v>0.39558469000000002</v>
      </c>
      <c r="G57" s="67">
        <v>0.15442642000000001</v>
      </c>
      <c r="H57" s="67">
        <v>29.27</v>
      </c>
    </row>
    <row r="58" spans="1:8" x14ac:dyDescent="0.35">
      <c r="B58">
        <v>2024</v>
      </c>
      <c r="C58" s="67">
        <v>0.67427205999999995</v>
      </c>
      <c r="D58" s="67">
        <v>0.44444</v>
      </c>
      <c r="E58" s="66">
        <v>3</v>
      </c>
      <c r="F58" s="67">
        <v>0.46023066000000001</v>
      </c>
      <c r="G58" s="67">
        <v>0.13675388999999999</v>
      </c>
      <c r="H58" s="67">
        <v>29.34</v>
      </c>
    </row>
    <row r="59" spans="1:8" x14ac:dyDescent="0.35">
      <c r="A59" t="s">
        <v>128</v>
      </c>
      <c r="B59">
        <v>2022</v>
      </c>
      <c r="C59" s="67">
        <v>0.84231701000000003</v>
      </c>
      <c r="D59" s="67">
        <v>0.61111000000000004</v>
      </c>
      <c r="E59" s="66">
        <v>3</v>
      </c>
      <c r="F59" s="67">
        <v>0.60325454000000001</v>
      </c>
      <c r="G59" s="67">
        <v>0.78831322000000004</v>
      </c>
      <c r="H59" s="67">
        <v>28.74</v>
      </c>
    </row>
    <row r="60" spans="1:8" x14ac:dyDescent="0.35">
      <c r="B60">
        <v>2023</v>
      </c>
      <c r="C60" s="67">
        <v>0.80391281000000003</v>
      </c>
      <c r="D60" s="67">
        <v>0.66666999999999998</v>
      </c>
      <c r="E60" s="66">
        <v>3</v>
      </c>
      <c r="F60" s="67">
        <v>0.55530738000000002</v>
      </c>
      <c r="G60" s="67">
        <v>0.70737178999999994</v>
      </c>
      <c r="H60" s="67">
        <v>28.67</v>
      </c>
    </row>
    <row r="61" spans="1:8" x14ac:dyDescent="0.35">
      <c r="B61">
        <v>2024</v>
      </c>
      <c r="C61" s="67">
        <v>0.79115351</v>
      </c>
      <c r="D61" s="67">
        <v>0.66666999999999998</v>
      </c>
      <c r="E61" s="66">
        <v>3</v>
      </c>
      <c r="F61" s="67">
        <v>0.48055140000000002</v>
      </c>
      <c r="G61" s="67">
        <v>0.64224641000000005</v>
      </c>
      <c r="H61" s="67">
        <v>28.59</v>
      </c>
    </row>
    <row r="62" spans="1:8" x14ac:dyDescent="0.35">
      <c r="A62" t="s">
        <v>129</v>
      </c>
      <c r="B62">
        <v>2022</v>
      </c>
      <c r="C62" s="67">
        <v>0.61691728999999995</v>
      </c>
      <c r="D62" s="67">
        <v>0.66666999999999998</v>
      </c>
      <c r="E62" s="66">
        <v>3</v>
      </c>
      <c r="F62" s="67">
        <v>0.41164035999999998</v>
      </c>
      <c r="G62" s="67">
        <v>0.57675668999999996</v>
      </c>
      <c r="H62" s="67">
        <v>29.12</v>
      </c>
    </row>
    <row r="63" spans="1:8" x14ac:dyDescent="0.35">
      <c r="B63">
        <v>2023</v>
      </c>
      <c r="C63" s="67">
        <v>0.60536948999999995</v>
      </c>
      <c r="D63" s="67">
        <v>0.55556000000000005</v>
      </c>
      <c r="E63" s="66">
        <v>3</v>
      </c>
      <c r="F63" s="67">
        <v>0.34782922999999999</v>
      </c>
      <c r="G63" s="67">
        <v>0.60519531000000004</v>
      </c>
      <c r="H63" s="67">
        <v>29.31</v>
      </c>
    </row>
    <row r="64" spans="1:8" x14ac:dyDescent="0.35">
      <c r="B64">
        <v>2024</v>
      </c>
      <c r="C64" s="67">
        <v>0.66325573000000004</v>
      </c>
      <c r="D64" s="67">
        <v>0.66666999999999998</v>
      </c>
      <c r="E64" s="66">
        <v>3</v>
      </c>
      <c r="F64" s="67">
        <v>0.55528601</v>
      </c>
      <c r="G64" s="67">
        <v>1.1002324000000001</v>
      </c>
      <c r="H64" s="67">
        <v>29.42</v>
      </c>
    </row>
    <row r="65" spans="1:8" x14ac:dyDescent="0.35">
      <c r="A65" t="s">
        <v>130</v>
      </c>
      <c r="B65">
        <v>2022</v>
      </c>
      <c r="C65" s="67">
        <v>2.6643807000000002</v>
      </c>
      <c r="D65" s="67">
        <v>0.72221999999999997</v>
      </c>
      <c r="E65" s="66">
        <v>3</v>
      </c>
      <c r="F65" s="67">
        <v>0.39041147999999998</v>
      </c>
      <c r="G65" s="67">
        <v>0.51354962999999998</v>
      </c>
      <c r="H65" s="67">
        <v>31.32</v>
      </c>
    </row>
    <row r="66" spans="1:8" x14ac:dyDescent="0.35">
      <c r="B66">
        <v>2023</v>
      </c>
      <c r="C66" s="67">
        <v>2.3514794000000001</v>
      </c>
      <c r="D66" s="67">
        <v>0.83333000000000002</v>
      </c>
      <c r="E66" s="66">
        <v>3</v>
      </c>
      <c r="F66" s="67">
        <v>0.39711372</v>
      </c>
      <c r="G66" s="67">
        <v>0.51582096</v>
      </c>
      <c r="H66" s="67">
        <v>31.34</v>
      </c>
    </row>
    <row r="67" spans="1:8" x14ac:dyDescent="0.35">
      <c r="B67">
        <v>2024</v>
      </c>
      <c r="C67" s="67">
        <v>2.1162524</v>
      </c>
      <c r="D67" s="67">
        <v>0.77778000000000003</v>
      </c>
      <c r="E67" s="66">
        <v>4</v>
      </c>
      <c r="F67" s="67">
        <v>0.39607782000000002</v>
      </c>
      <c r="G67" s="67">
        <v>0.41276074000000001</v>
      </c>
      <c r="H67" s="67">
        <v>31.39</v>
      </c>
    </row>
    <row r="68" spans="1:8" x14ac:dyDescent="0.35">
      <c r="A68" t="s">
        <v>131</v>
      </c>
      <c r="B68">
        <v>2022</v>
      </c>
      <c r="C68" s="67">
        <v>1.0468367999999999</v>
      </c>
      <c r="D68" s="67">
        <v>0.77778000000000003</v>
      </c>
      <c r="E68" s="66">
        <v>3</v>
      </c>
      <c r="F68" s="67">
        <v>0.63770652999999999</v>
      </c>
      <c r="G68" s="67">
        <v>1.978051</v>
      </c>
      <c r="H68" s="67">
        <v>31.12</v>
      </c>
    </row>
    <row r="69" spans="1:8" x14ac:dyDescent="0.35">
      <c r="B69">
        <v>2023</v>
      </c>
      <c r="C69" s="67">
        <v>0.99032956000000005</v>
      </c>
      <c r="D69" s="67">
        <v>0.83333000000000002</v>
      </c>
      <c r="E69" s="66">
        <v>3</v>
      </c>
      <c r="F69" s="67">
        <v>0.62870652999999999</v>
      </c>
      <c r="G69" s="67">
        <v>1.4076318999999999</v>
      </c>
      <c r="H69" s="67">
        <v>31.16</v>
      </c>
    </row>
    <row r="70" spans="1:8" x14ac:dyDescent="0.35">
      <c r="B70">
        <v>2024</v>
      </c>
      <c r="C70" s="67">
        <v>1.1781855999999999</v>
      </c>
      <c r="D70" s="67">
        <v>0.83333000000000002</v>
      </c>
      <c r="E70" s="66">
        <v>3</v>
      </c>
      <c r="F70" s="67">
        <v>0.56099105999999999</v>
      </c>
      <c r="G70" s="67">
        <v>1.0917927999999999</v>
      </c>
      <c r="H70" s="67">
        <v>31.18</v>
      </c>
    </row>
    <row r="71" spans="1:8" x14ac:dyDescent="0.35">
      <c r="A71" t="s">
        <v>147</v>
      </c>
      <c r="B71">
        <v>2022</v>
      </c>
      <c r="C71" s="67">
        <v>0.85408746000000002</v>
      </c>
      <c r="D71" s="67">
        <v>0.77778000000000003</v>
      </c>
      <c r="E71" s="66">
        <v>3</v>
      </c>
      <c r="F71" s="67">
        <v>0.66641855999999999</v>
      </c>
      <c r="G71" s="67">
        <v>1.6155586</v>
      </c>
      <c r="H71" s="67">
        <v>29.38</v>
      </c>
    </row>
    <row r="72" spans="1:8" x14ac:dyDescent="0.35">
      <c r="B72">
        <v>2023</v>
      </c>
      <c r="C72" s="67">
        <v>0.75657646999999995</v>
      </c>
      <c r="D72" s="67">
        <v>0.77778000000000003</v>
      </c>
      <c r="E72" s="66">
        <v>3</v>
      </c>
      <c r="F72" s="67">
        <v>0.59972261000000004</v>
      </c>
      <c r="G72" s="67">
        <v>1.4116369</v>
      </c>
      <c r="H72" s="67">
        <v>29.34</v>
      </c>
    </row>
    <row r="73" spans="1:8" x14ac:dyDescent="0.35">
      <c r="B73">
        <v>2024</v>
      </c>
      <c r="C73" s="67">
        <v>0.71967689999999995</v>
      </c>
      <c r="D73" s="67">
        <v>0.77778000000000003</v>
      </c>
      <c r="E73" s="66">
        <v>3</v>
      </c>
      <c r="F73" s="67">
        <v>0.46252889000000003</v>
      </c>
      <c r="G73" s="67">
        <v>0.82028972</v>
      </c>
      <c r="H73" s="67">
        <v>29.31</v>
      </c>
    </row>
    <row r="74" spans="1:8" x14ac:dyDescent="0.35">
      <c r="A74" t="s">
        <v>133</v>
      </c>
      <c r="B74">
        <v>2022</v>
      </c>
      <c r="C74" s="67">
        <v>1.1972834000000001</v>
      </c>
      <c r="D74" s="67">
        <v>0.61111000000000004</v>
      </c>
      <c r="E74" s="66">
        <v>3</v>
      </c>
      <c r="F74" s="67">
        <v>0.35275684000000002</v>
      </c>
      <c r="G74" s="67">
        <v>0.52896116000000004</v>
      </c>
      <c r="H74" s="67">
        <v>28.19</v>
      </c>
    </row>
    <row r="75" spans="1:8" x14ac:dyDescent="0.35">
      <c r="B75">
        <v>2023</v>
      </c>
      <c r="C75" s="67">
        <v>1.1156682</v>
      </c>
      <c r="D75" s="67">
        <v>0.66666999999999998</v>
      </c>
      <c r="E75" s="66">
        <v>3</v>
      </c>
      <c r="F75" s="67">
        <v>0.35628599999999999</v>
      </c>
      <c r="G75" s="67">
        <v>0.55161271000000001</v>
      </c>
      <c r="H75" s="67">
        <v>28.27</v>
      </c>
    </row>
    <row r="76" spans="1:8" x14ac:dyDescent="0.35">
      <c r="B76">
        <v>2024</v>
      </c>
      <c r="C76" s="67">
        <v>1.3502365000000001</v>
      </c>
      <c r="D76" s="67">
        <v>0.77778000000000003</v>
      </c>
      <c r="E76" s="66">
        <v>3</v>
      </c>
      <c r="F76" s="67">
        <v>0.25921502000000002</v>
      </c>
      <c r="G76" s="67">
        <v>0.34263626000000003</v>
      </c>
      <c r="H76" s="67">
        <v>28.19</v>
      </c>
    </row>
    <row r="77" spans="1:8" x14ac:dyDescent="0.35">
      <c r="A77" t="s">
        <v>134</v>
      </c>
      <c r="B77">
        <v>2022</v>
      </c>
      <c r="C77" s="67">
        <v>0.73334021999999999</v>
      </c>
      <c r="D77" s="67">
        <v>0.72221999999999997</v>
      </c>
      <c r="E77" s="66">
        <v>3</v>
      </c>
      <c r="F77" s="67">
        <v>0.54953390000000002</v>
      </c>
      <c r="G77" s="67">
        <v>0.71995898999999997</v>
      </c>
      <c r="H77" s="67">
        <v>32.51</v>
      </c>
    </row>
    <row r="78" spans="1:8" x14ac:dyDescent="0.35">
      <c r="B78">
        <v>2023</v>
      </c>
      <c r="C78" s="67">
        <v>0.69920475000000004</v>
      </c>
      <c r="D78" s="67">
        <v>0.77778000000000003</v>
      </c>
      <c r="E78" s="66">
        <v>3</v>
      </c>
      <c r="F78" s="67">
        <v>0.54541331000000004</v>
      </c>
      <c r="G78" s="67">
        <v>0.68750836999999998</v>
      </c>
      <c r="H78" s="67">
        <v>32.68</v>
      </c>
    </row>
    <row r="79" spans="1:8" x14ac:dyDescent="0.35">
      <c r="B79">
        <v>2024</v>
      </c>
      <c r="C79" s="67">
        <v>0.65132635999999999</v>
      </c>
      <c r="D79" s="67">
        <v>0.77778000000000003</v>
      </c>
      <c r="E79" s="66">
        <v>3</v>
      </c>
      <c r="F79" s="67">
        <v>0.60581426000000005</v>
      </c>
      <c r="G79" s="67">
        <v>0.83780710000000003</v>
      </c>
      <c r="H79" s="67">
        <v>32.880000000000003</v>
      </c>
    </row>
    <row r="80" spans="1:8" x14ac:dyDescent="0.35">
      <c r="A80" t="s">
        <v>135</v>
      </c>
      <c r="B80">
        <v>2022</v>
      </c>
      <c r="C80" s="67">
        <v>0.72884210000000005</v>
      </c>
      <c r="D80" s="67">
        <v>0.61111000000000004</v>
      </c>
      <c r="E80" s="66">
        <v>3</v>
      </c>
      <c r="F80" s="67">
        <v>0.43006687999999998</v>
      </c>
      <c r="G80" s="67">
        <v>0.50922480000000003</v>
      </c>
      <c r="H80" s="67">
        <v>28.81</v>
      </c>
    </row>
    <row r="81" spans="1:8" x14ac:dyDescent="0.35">
      <c r="B81">
        <v>2023</v>
      </c>
      <c r="C81" s="67">
        <v>0.63019868999999995</v>
      </c>
      <c r="D81" s="67">
        <v>0.55556000000000005</v>
      </c>
      <c r="E81" s="66">
        <v>3</v>
      </c>
      <c r="F81" s="67">
        <v>0.39240009999999997</v>
      </c>
      <c r="G81" s="67">
        <v>0.42446128</v>
      </c>
      <c r="H81" s="67">
        <v>28.83</v>
      </c>
    </row>
    <row r="82" spans="1:8" x14ac:dyDescent="0.35">
      <c r="B82">
        <v>2024</v>
      </c>
      <c r="C82" s="67">
        <v>0.57229458</v>
      </c>
      <c r="D82" s="67">
        <v>0.72221999999999997</v>
      </c>
      <c r="E82" s="66">
        <v>3</v>
      </c>
      <c r="F82" s="67">
        <v>0.37896796999999999</v>
      </c>
      <c r="G82" s="67">
        <v>0.42270001000000001</v>
      </c>
      <c r="H82" s="67">
        <v>28.85</v>
      </c>
    </row>
    <row r="83" spans="1:8" x14ac:dyDescent="0.35">
      <c r="A83" t="s">
        <v>137</v>
      </c>
      <c r="B83">
        <v>2022</v>
      </c>
      <c r="C83" s="67">
        <v>0.76773345999999998</v>
      </c>
      <c r="D83" s="67">
        <v>0.72221999999999997</v>
      </c>
      <c r="E83" s="66">
        <v>3</v>
      </c>
      <c r="F83" s="67">
        <v>0.43197468</v>
      </c>
      <c r="G83" s="67">
        <v>0.59790105999999998</v>
      </c>
      <c r="H83" s="67">
        <v>33.659999999999997</v>
      </c>
    </row>
    <row r="84" spans="1:8" x14ac:dyDescent="0.35">
      <c r="B84">
        <v>2023</v>
      </c>
      <c r="C84" s="67">
        <v>0.74754251999999999</v>
      </c>
      <c r="D84" s="67">
        <v>0.77778000000000003</v>
      </c>
      <c r="E84" s="66">
        <v>3</v>
      </c>
      <c r="F84" s="67">
        <v>0.38817308</v>
      </c>
      <c r="G84" s="67">
        <v>0.51323207000000004</v>
      </c>
      <c r="H84" s="67">
        <v>32.9</v>
      </c>
    </row>
    <row r="85" spans="1:8" x14ac:dyDescent="0.35">
      <c r="B85">
        <v>2024</v>
      </c>
      <c r="C85" s="67">
        <v>0.60378710000000002</v>
      </c>
      <c r="D85" s="67">
        <v>0.77778000000000003</v>
      </c>
      <c r="E85" s="66">
        <v>3</v>
      </c>
      <c r="F85" s="67">
        <v>0.35331191000000001</v>
      </c>
      <c r="G85" s="67">
        <v>0.43950477999999998</v>
      </c>
      <c r="H85" s="67">
        <v>32.94</v>
      </c>
    </row>
    <row r="86" spans="1:8" x14ac:dyDescent="0.35">
      <c r="A86" t="s">
        <v>78</v>
      </c>
      <c r="B86">
        <v>2022</v>
      </c>
      <c r="C86" s="67">
        <v>0.43030922999999999</v>
      </c>
      <c r="D86" s="67">
        <v>0.83333000000000002</v>
      </c>
      <c r="E86" s="66">
        <v>2</v>
      </c>
      <c r="F86" s="67">
        <v>0.558562</v>
      </c>
      <c r="G86" s="67">
        <v>0.69570409</v>
      </c>
      <c r="H86" s="67">
        <v>27.97</v>
      </c>
    </row>
    <row r="87" spans="1:8" x14ac:dyDescent="0.35">
      <c r="B87">
        <v>2023</v>
      </c>
      <c r="C87" s="67">
        <v>0.46017225</v>
      </c>
      <c r="D87" s="67">
        <v>0.83333000000000002</v>
      </c>
      <c r="E87" s="66">
        <v>3</v>
      </c>
      <c r="F87" s="67">
        <v>0.53011752999999995</v>
      </c>
      <c r="G87" s="67">
        <v>0.77860348999999995</v>
      </c>
      <c r="H87" s="67">
        <v>27.93</v>
      </c>
    </row>
    <row r="88" spans="1:8" x14ac:dyDescent="0.35">
      <c r="B88">
        <v>2024</v>
      </c>
      <c r="C88" s="67">
        <v>0.50382366000000001</v>
      </c>
      <c r="D88" s="67">
        <v>0.83333000000000002</v>
      </c>
      <c r="E88" s="66">
        <v>3</v>
      </c>
      <c r="F88" s="67">
        <v>0.52411693000000004</v>
      </c>
      <c r="G88" s="67">
        <v>0.74192252999999997</v>
      </c>
      <c r="H88" s="67">
        <v>27.97</v>
      </c>
    </row>
    <row r="89" spans="1:8" x14ac:dyDescent="0.35">
      <c r="A89" t="s">
        <v>79</v>
      </c>
      <c r="B89">
        <v>2022</v>
      </c>
      <c r="C89" s="67">
        <v>0.67525497999999995</v>
      </c>
      <c r="D89" s="67">
        <v>0.66666999999999998</v>
      </c>
      <c r="E89" s="66">
        <v>3</v>
      </c>
      <c r="F89" s="67">
        <v>0.40729654999999998</v>
      </c>
      <c r="G89" s="67">
        <v>0.41908353999999998</v>
      </c>
      <c r="H89" s="67">
        <v>29.15</v>
      </c>
    </row>
    <row r="90" spans="1:8" x14ac:dyDescent="0.35">
      <c r="B90">
        <v>2023</v>
      </c>
      <c r="C90" s="67">
        <v>0.83861993999999995</v>
      </c>
      <c r="D90" s="67">
        <v>0.72221999999999997</v>
      </c>
      <c r="E90" s="66">
        <v>3</v>
      </c>
      <c r="F90" s="67">
        <v>0.39856525999999998</v>
      </c>
      <c r="G90" s="67">
        <v>0.34892814999999999</v>
      </c>
      <c r="H90" s="67">
        <v>29.16</v>
      </c>
    </row>
    <row r="91" spans="1:8" x14ac:dyDescent="0.35">
      <c r="B91">
        <v>2024</v>
      </c>
      <c r="C91" s="67">
        <v>0.78588996</v>
      </c>
      <c r="D91" s="67">
        <v>0.77778000000000003</v>
      </c>
      <c r="E91" s="66">
        <v>3</v>
      </c>
      <c r="F91" s="67">
        <v>0.43057429000000003</v>
      </c>
      <c r="G91" s="67">
        <v>0.34910512999999999</v>
      </c>
      <c r="H91" s="67">
        <v>29.22</v>
      </c>
    </row>
    <row r="92" spans="1:8" x14ac:dyDescent="0.35">
      <c r="A92" t="s">
        <v>80</v>
      </c>
      <c r="B92">
        <v>2022</v>
      </c>
      <c r="C92" s="67">
        <v>1.6385558</v>
      </c>
      <c r="D92" s="67">
        <v>0.55556000000000005</v>
      </c>
      <c r="E92" s="66">
        <v>3</v>
      </c>
      <c r="F92" s="67">
        <v>0.41841927000000001</v>
      </c>
      <c r="G92" s="67">
        <v>0.65571621999999996</v>
      </c>
      <c r="H92" s="67">
        <v>28.62</v>
      </c>
    </row>
    <row r="93" spans="1:8" x14ac:dyDescent="0.35">
      <c r="B93">
        <v>2023</v>
      </c>
      <c r="C93" s="67">
        <v>1.633168</v>
      </c>
      <c r="D93" s="67">
        <v>0.61111000000000004</v>
      </c>
      <c r="E93" s="66">
        <v>3</v>
      </c>
      <c r="F93" s="67">
        <v>0.37829235999999999</v>
      </c>
      <c r="G93" s="67">
        <v>0.54180077000000004</v>
      </c>
      <c r="H93" s="67">
        <v>28.85</v>
      </c>
    </row>
    <row r="94" spans="1:8" x14ac:dyDescent="0.35">
      <c r="B94">
        <v>2024</v>
      </c>
      <c r="C94" s="67">
        <v>2.5375795999999999</v>
      </c>
      <c r="D94" s="67">
        <v>0.55556000000000005</v>
      </c>
      <c r="E94" s="66">
        <v>3</v>
      </c>
      <c r="F94" s="67">
        <v>0.44821026000000003</v>
      </c>
      <c r="G94" s="67">
        <v>0.58132128000000005</v>
      </c>
      <c r="H94" s="67">
        <v>28.98</v>
      </c>
    </row>
    <row r="95" spans="1:8" x14ac:dyDescent="0.35">
      <c r="A95" t="s">
        <v>170</v>
      </c>
      <c r="B95">
        <v>2022</v>
      </c>
      <c r="C95" s="67">
        <v>1.53</v>
      </c>
      <c r="D95" s="67">
        <v>0.66666999999999998</v>
      </c>
      <c r="E95" s="66">
        <v>2</v>
      </c>
      <c r="F95" s="67">
        <v>0.28061000000000003</v>
      </c>
      <c r="G95" s="67">
        <v>0.31</v>
      </c>
      <c r="H95" s="67">
        <v>30.58</v>
      </c>
    </row>
    <row r="96" spans="1:8" x14ac:dyDescent="0.35">
      <c r="B96">
        <v>2023</v>
      </c>
      <c r="C96" s="67">
        <v>0.82979999999999998</v>
      </c>
      <c r="D96" s="67">
        <v>0.72221999999999997</v>
      </c>
      <c r="E96" s="66">
        <v>3</v>
      </c>
      <c r="F96" s="67">
        <v>0.35387999999999997</v>
      </c>
      <c r="G96" s="67">
        <v>0.32</v>
      </c>
      <c r="H96" s="67">
        <v>30.57</v>
      </c>
    </row>
    <row r="97" spans="1:8" x14ac:dyDescent="0.35">
      <c r="B97">
        <v>2024</v>
      </c>
      <c r="C97" s="67">
        <v>0.76290000000000002</v>
      </c>
      <c r="D97" s="67">
        <v>0.72221999999999997</v>
      </c>
      <c r="E97" s="66">
        <v>3</v>
      </c>
      <c r="F97" s="67">
        <v>0.34189999999999998</v>
      </c>
      <c r="G97" s="67">
        <v>0.3</v>
      </c>
      <c r="H97" s="67">
        <v>30.65</v>
      </c>
    </row>
    <row r="98" spans="1:8" x14ac:dyDescent="0.35">
      <c r="A98" t="s">
        <v>81</v>
      </c>
      <c r="B98">
        <v>2022</v>
      </c>
      <c r="C98" s="67">
        <v>1.5034506000000001</v>
      </c>
      <c r="D98" s="67">
        <v>0.44440000000000002</v>
      </c>
      <c r="E98" s="66">
        <v>2</v>
      </c>
      <c r="F98" s="67">
        <v>0.55011051</v>
      </c>
      <c r="G98" s="67">
        <v>1.1169355999999999</v>
      </c>
      <c r="H98" s="67">
        <v>28.99</v>
      </c>
    </row>
    <row r="99" spans="1:8" x14ac:dyDescent="0.35">
      <c r="B99">
        <v>2023</v>
      </c>
      <c r="C99" s="67">
        <v>2.3740861</v>
      </c>
      <c r="D99" s="67">
        <v>0.5</v>
      </c>
      <c r="E99" s="66">
        <v>3</v>
      </c>
      <c r="F99" s="67">
        <v>0.51210838000000003</v>
      </c>
      <c r="G99" s="67">
        <v>0.97774934000000002</v>
      </c>
      <c r="H99" s="67">
        <v>29.13</v>
      </c>
    </row>
    <row r="100" spans="1:8" x14ac:dyDescent="0.35">
      <c r="B100">
        <v>2024</v>
      </c>
      <c r="C100" s="67">
        <v>1.4845197000000001</v>
      </c>
      <c r="D100" s="67">
        <v>0.5</v>
      </c>
      <c r="E100" s="66">
        <v>3</v>
      </c>
      <c r="F100" s="67">
        <v>0.46209024999999998</v>
      </c>
      <c r="G100" s="67">
        <v>0.84954384999999999</v>
      </c>
      <c r="H100" s="67">
        <v>29.08</v>
      </c>
    </row>
    <row r="101" spans="1:8" x14ac:dyDescent="0.35">
      <c r="A101" t="s">
        <v>82</v>
      </c>
      <c r="B101">
        <v>2022</v>
      </c>
      <c r="C101" s="67">
        <v>0.72264494999999995</v>
      </c>
      <c r="D101" s="67">
        <v>0.66666999999999998</v>
      </c>
      <c r="E101" s="66">
        <v>3</v>
      </c>
      <c r="F101" s="67">
        <v>0.66658839999999997</v>
      </c>
      <c r="G101" s="67">
        <v>1.6317280999999999</v>
      </c>
      <c r="H101" s="67">
        <v>29.61</v>
      </c>
    </row>
    <row r="102" spans="1:8" x14ac:dyDescent="0.35">
      <c r="B102">
        <v>2023</v>
      </c>
      <c r="C102" s="67">
        <v>0.74993673999999999</v>
      </c>
      <c r="D102" s="67">
        <v>0.72221999999999997</v>
      </c>
      <c r="E102" s="66">
        <v>3</v>
      </c>
      <c r="F102" s="67">
        <v>0.59626087000000005</v>
      </c>
      <c r="G102" s="67">
        <v>1.2720256999999999</v>
      </c>
      <c r="H102" s="67">
        <v>29.72</v>
      </c>
    </row>
    <row r="103" spans="1:8" x14ac:dyDescent="0.35">
      <c r="B103">
        <v>2024</v>
      </c>
      <c r="C103" s="67">
        <v>0.72993341</v>
      </c>
      <c r="D103" s="67">
        <v>0.66666999999999998</v>
      </c>
      <c r="E103" s="66">
        <v>3</v>
      </c>
      <c r="F103" s="67">
        <v>0.59062979999999998</v>
      </c>
      <c r="G103" s="67">
        <v>1.1745467999999999</v>
      </c>
      <c r="H103" s="67">
        <v>29.68</v>
      </c>
    </row>
    <row r="104" spans="1:8" x14ac:dyDescent="0.35">
      <c r="A104" t="s">
        <v>83</v>
      </c>
      <c r="B104">
        <v>2022</v>
      </c>
      <c r="C104" s="67">
        <v>0.56059919999999996</v>
      </c>
      <c r="D104" s="67">
        <v>0.61111000000000004</v>
      </c>
      <c r="E104" s="66">
        <v>2</v>
      </c>
      <c r="F104" s="67">
        <v>0.25823674000000002</v>
      </c>
      <c r="G104" s="67">
        <v>0.30180886000000001</v>
      </c>
      <c r="H104" s="67">
        <v>28.63</v>
      </c>
    </row>
    <row r="105" spans="1:8" x14ac:dyDescent="0.35">
      <c r="B105">
        <v>2023</v>
      </c>
      <c r="C105" s="67">
        <v>0.58363604000000002</v>
      </c>
      <c r="D105" s="67">
        <v>0.77778000000000003</v>
      </c>
      <c r="E105" s="66">
        <v>3</v>
      </c>
      <c r="F105" s="67">
        <v>0.23220736</v>
      </c>
      <c r="G105" s="67">
        <v>0.24882467999999999</v>
      </c>
      <c r="H105" s="67">
        <v>28.53</v>
      </c>
    </row>
    <row r="106" spans="1:8" x14ac:dyDescent="0.35">
      <c r="B106">
        <v>2024</v>
      </c>
      <c r="C106" s="67">
        <v>0.54990406999999997</v>
      </c>
      <c r="D106" s="67">
        <v>0.66666999999999998</v>
      </c>
      <c r="E106" s="66">
        <v>3</v>
      </c>
      <c r="F106" s="67">
        <v>0.20637158</v>
      </c>
      <c r="G106" s="67">
        <v>0.21014691999999999</v>
      </c>
      <c r="H106" s="67">
        <v>28.55</v>
      </c>
    </row>
    <row r="107" spans="1:8" x14ac:dyDescent="0.35">
      <c r="A107" t="s">
        <v>171</v>
      </c>
      <c r="B107">
        <v>2022</v>
      </c>
      <c r="C107" s="67">
        <v>2.9729999999999999</v>
      </c>
      <c r="D107" s="67">
        <v>0.61111000000000004</v>
      </c>
      <c r="E107" s="66">
        <v>2</v>
      </c>
      <c r="F107" s="67">
        <v>0.3</v>
      </c>
      <c r="G107" s="67">
        <v>0.43</v>
      </c>
      <c r="H107" s="67">
        <v>30.25</v>
      </c>
    </row>
    <row r="108" spans="1:8" x14ac:dyDescent="0.35">
      <c r="B108">
        <v>2023</v>
      </c>
      <c r="C108" s="67">
        <v>4.6024000000000003</v>
      </c>
      <c r="D108" s="67">
        <v>0.61111000000000004</v>
      </c>
      <c r="E108" s="66">
        <v>3</v>
      </c>
      <c r="F108" s="67">
        <v>0.32</v>
      </c>
      <c r="G108" s="67">
        <v>0.37</v>
      </c>
      <c r="H108" s="67">
        <v>30.17</v>
      </c>
    </row>
    <row r="109" spans="1:8" x14ac:dyDescent="0.35">
      <c r="B109">
        <v>2024</v>
      </c>
      <c r="C109" s="67">
        <v>6.4000949</v>
      </c>
      <c r="D109" s="67">
        <v>0.61111000000000004</v>
      </c>
      <c r="E109" s="66">
        <v>3</v>
      </c>
      <c r="F109" s="67">
        <v>0.28000000000000003</v>
      </c>
      <c r="G109" s="67">
        <v>0.21</v>
      </c>
      <c r="H109" s="67">
        <v>30.16</v>
      </c>
    </row>
    <row r="110" spans="1:8" x14ac:dyDescent="0.35">
      <c r="A110" t="s">
        <v>84</v>
      </c>
      <c r="B110">
        <v>2022</v>
      </c>
      <c r="C110" s="67">
        <v>0.43030922999999999</v>
      </c>
      <c r="D110" s="67">
        <v>0.66666999999999998</v>
      </c>
      <c r="E110" s="66">
        <v>3</v>
      </c>
      <c r="F110" s="67">
        <v>0.20637158</v>
      </c>
      <c r="G110" s="67">
        <v>0.18406436000000001</v>
      </c>
      <c r="H110" s="67">
        <v>28.91</v>
      </c>
    </row>
    <row r="111" spans="1:8" x14ac:dyDescent="0.35">
      <c r="B111">
        <v>2023</v>
      </c>
      <c r="C111" s="67">
        <v>0.43030922999999999</v>
      </c>
      <c r="D111" s="67">
        <v>0.66666999999999998</v>
      </c>
      <c r="E111" s="66">
        <v>3</v>
      </c>
      <c r="F111" s="67">
        <v>0.24938655000000001</v>
      </c>
      <c r="G111" s="67">
        <v>0.26759031</v>
      </c>
      <c r="H111" s="67">
        <v>28.81</v>
      </c>
    </row>
    <row r="112" spans="1:8" x14ac:dyDescent="0.35">
      <c r="B112">
        <v>2024</v>
      </c>
      <c r="C112" s="67">
        <v>0.43030922999999999</v>
      </c>
      <c r="D112" s="67">
        <v>0.66666999999999998</v>
      </c>
      <c r="E112" s="66">
        <v>3</v>
      </c>
      <c r="F112" s="67">
        <v>0.30053677000000001</v>
      </c>
      <c r="G112" s="67">
        <v>0.33898810000000001</v>
      </c>
      <c r="H112" s="67">
        <v>28.2</v>
      </c>
    </row>
    <row r="113" spans="1:8" x14ac:dyDescent="0.35">
      <c r="A113" t="s">
        <v>85</v>
      </c>
      <c r="B113">
        <v>2022</v>
      </c>
      <c r="C113" s="67">
        <v>0.73526818000000005</v>
      </c>
      <c r="D113" s="67">
        <v>0.61111000000000004</v>
      </c>
      <c r="E113" s="66">
        <v>3</v>
      </c>
      <c r="F113" s="67">
        <v>0.49912644</v>
      </c>
      <c r="G113" s="67">
        <v>0.86990803999999999</v>
      </c>
      <c r="H113" s="67">
        <v>28.66</v>
      </c>
    </row>
    <row r="114" spans="1:8" x14ac:dyDescent="0.35">
      <c r="B114">
        <v>2023</v>
      </c>
      <c r="C114" s="67">
        <v>0.65196354999999995</v>
      </c>
      <c r="D114" s="67">
        <v>0.61111000000000004</v>
      </c>
      <c r="E114" s="66">
        <v>3</v>
      </c>
      <c r="F114" s="67">
        <v>0.50969469000000001</v>
      </c>
      <c r="G114" s="67">
        <v>0.97777152000000001</v>
      </c>
      <c r="H114" s="67">
        <v>28.72</v>
      </c>
    </row>
    <row r="115" spans="1:8" x14ac:dyDescent="0.35">
      <c r="B115">
        <v>2024</v>
      </c>
      <c r="C115" s="67">
        <v>0.63341042000000003</v>
      </c>
      <c r="D115" s="67">
        <v>0.61111000000000004</v>
      </c>
      <c r="E115" s="66">
        <v>3</v>
      </c>
      <c r="F115" s="67">
        <v>0.52370486999999999</v>
      </c>
      <c r="G115" s="67">
        <v>0.95795173</v>
      </c>
      <c r="H115" s="67">
        <v>28.77</v>
      </c>
    </row>
    <row r="116" spans="1:8" x14ac:dyDescent="0.35">
      <c r="A116" t="s">
        <v>86</v>
      </c>
      <c r="B116">
        <v>2022</v>
      </c>
      <c r="C116" s="67">
        <v>5.1763425999999999</v>
      </c>
      <c r="D116" s="67">
        <v>0.61111000000000004</v>
      </c>
      <c r="E116" s="66">
        <v>3</v>
      </c>
      <c r="F116" s="67">
        <v>0.93156145999999995</v>
      </c>
      <c r="G116" s="67">
        <v>0.12516704000000001</v>
      </c>
      <c r="H116" s="67">
        <v>28.04</v>
      </c>
    </row>
    <row r="117" spans="1:8" x14ac:dyDescent="0.35">
      <c r="B117">
        <v>2023</v>
      </c>
      <c r="C117" s="67">
        <v>5.5577877999999998</v>
      </c>
      <c r="D117" s="67">
        <v>0.61111000000000004</v>
      </c>
      <c r="E117" s="66">
        <v>3</v>
      </c>
      <c r="F117" s="67">
        <v>0.93156145999999995</v>
      </c>
      <c r="G117" s="67">
        <v>0.12516704000000001</v>
      </c>
      <c r="H117" s="67">
        <v>28.1</v>
      </c>
    </row>
    <row r="118" spans="1:8" x14ac:dyDescent="0.35">
      <c r="B118">
        <v>2024</v>
      </c>
      <c r="C118" s="67">
        <v>6.4000949</v>
      </c>
      <c r="D118" s="67">
        <v>0.61111000000000004</v>
      </c>
      <c r="E118" s="66">
        <v>3</v>
      </c>
      <c r="F118" s="67">
        <v>0.93156145999999995</v>
      </c>
      <c r="G118" s="67">
        <v>0.12516704000000001</v>
      </c>
      <c r="H118" s="67">
        <v>28.27</v>
      </c>
    </row>
    <row r="119" spans="1:8" x14ac:dyDescent="0.35">
      <c r="A119" t="s">
        <v>168</v>
      </c>
      <c r="B119">
        <v>2022</v>
      </c>
      <c r="C119" s="67">
        <v>0.55783563999999997</v>
      </c>
      <c r="D119" s="67">
        <v>0.72221999999999997</v>
      </c>
      <c r="E119" s="66">
        <v>3</v>
      </c>
      <c r="F119" s="67">
        <v>0.21723885000000001</v>
      </c>
      <c r="G119" s="67">
        <v>0.12516704000000001</v>
      </c>
      <c r="H119" s="67">
        <v>28.13</v>
      </c>
    </row>
    <row r="120" spans="1:8" x14ac:dyDescent="0.35">
      <c r="B120">
        <v>2023</v>
      </c>
      <c r="C120" s="67">
        <v>0.58318674000000004</v>
      </c>
      <c r="D120" s="67">
        <v>0.72221999999999997</v>
      </c>
      <c r="E120" s="66">
        <v>3</v>
      </c>
      <c r="F120" s="67">
        <v>0.37994809000000002</v>
      </c>
      <c r="G120" s="67">
        <v>0.14695496999999999</v>
      </c>
      <c r="H120" s="67">
        <v>28.37</v>
      </c>
    </row>
    <row r="121" spans="1:8" x14ac:dyDescent="0.35">
      <c r="B121">
        <v>2024</v>
      </c>
      <c r="C121" s="67">
        <v>0.60767400000000005</v>
      </c>
      <c r="D121" s="67">
        <v>0.72221999999999997</v>
      </c>
      <c r="E121" s="66">
        <v>3</v>
      </c>
      <c r="F121" s="67">
        <v>0.20637158</v>
      </c>
      <c r="G121" s="67">
        <v>0.12516704000000001</v>
      </c>
      <c r="H121" s="67">
        <v>28.62</v>
      </c>
    </row>
    <row r="122" spans="1:8" x14ac:dyDescent="0.35">
      <c r="A122" t="s">
        <v>138</v>
      </c>
      <c r="B122">
        <v>2022</v>
      </c>
      <c r="C122" s="67">
        <v>0.43030922999999999</v>
      </c>
      <c r="D122" s="67">
        <v>0.61111000000000004</v>
      </c>
      <c r="E122" s="66">
        <v>3</v>
      </c>
      <c r="F122" s="67">
        <v>0.20637158</v>
      </c>
      <c r="G122" s="67">
        <v>0.21206335000000001</v>
      </c>
      <c r="H122" s="67">
        <v>28.23</v>
      </c>
    </row>
    <row r="123" spans="1:8" x14ac:dyDescent="0.35">
      <c r="B123">
        <v>2023</v>
      </c>
      <c r="C123" s="67">
        <v>0.43030922999999999</v>
      </c>
      <c r="D123" s="67">
        <v>0.61111000000000004</v>
      </c>
      <c r="E123" s="66">
        <v>3</v>
      </c>
      <c r="F123" s="67">
        <v>0.24273728</v>
      </c>
      <c r="G123" s="67">
        <v>0.26305084000000001</v>
      </c>
      <c r="H123" s="67">
        <v>28.25</v>
      </c>
    </row>
    <row r="124" spans="1:8" x14ac:dyDescent="0.35">
      <c r="B124">
        <v>2024</v>
      </c>
      <c r="C124" s="67">
        <v>0.79421911999999995</v>
      </c>
      <c r="D124" s="67">
        <v>0.61111000000000004</v>
      </c>
      <c r="E124" s="66">
        <v>3</v>
      </c>
      <c r="F124" s="67">
        <v>0.25788221</v>
      </c>
      <c r="G124" s="67">
        <v>0.33010685000000001</v>
      </c>
      <c r="H124" s="67">
        <v>28.31</v>
      </c>
    </row>
    <row r="125" spans="1:8" x14ac:dyDescent="0.35">
      <c r="A125" t="s">
        <v>89</v>
      </c>
      <c r="B125">
        <v>2022</v>
      </c>
      <c r="C125" s="67">
        <v>0.94693543999999996</v>
      </c>
      <c r="D125" s="67">
        <v>0.77778000000000003</v>
      </c>
      <c r="E125" s="66">
        <v>3</v>
      </c>
      <c r="F125" s="67">
        <v>0.80638977000000001</v>
      </c>
      <c r="G125" s="67">
        <v>2.7073583999999999</v>
      </c>
      <c r="H125" s="67">
        <v>28.79</v>
      </c>
    </row>
    <row r="126" spans="1:8" x14ac:dyDescent="0.35">
      <c r="B126">
        <v>2023</v>
      </c>
      <c r="C126" s="67">
        <v>1.0679924999999999</v>
      </c>
      <c r="D126" s="67">
        <v>0.77778000000000003</v>
      </c>
      <c r="E126" s="66">
        <v>3</v>
      </c>
      <c r="F126" s="67">
        <v>0.80895402999999999</v>
      </c>
      <c r="G126" s="67">
        <v>2.5646445</v>
      </c>
      <c r="H126" s="67">
        <v>28.83</v>
      </c>
    </row>
    <row r="127" spans="1:8" x14ac:dyDescent="0.35">
      <c r="B127">
        <v>2024</v>
      </c>
      <c r="C127" s="67">
        <v>1.1675852</v>
      </c>
      <c r="D127" s="67">
        <v>0.77778000000000003</v>
      </c>
      <c r="E127" s="66">
        <v>3</v>
      </c>
      <c r="F127" s="67">
        <v>0.79537135000000003</v>
      </c>
      <c r="G127" s="67">
        <v>1.8270291000000001</v>
      </c>
      <c r="H127" s="67">
        <v>28.97</v>
      </c>
    </row>
    <row r="128" spans="1:8" x14ac:dyDescent="0.35">
      <c r="A128" t="s">
        <v>153</v>
      </c>
      <c r="B128">
        <v>2022</v>
      </c>
      <c r="C128" s="67">
        <v>0.76419767999999999</v>
      </c>
      <c r="D128" s="67">
        <v>0.55556000000000005</v>
      </c>
      <c r="E128" s="66">
        <v>3</v>
      </c>
      <c r="F128" s="67">
        <v>0.41821773000000001</v>
      </c>
      <c r="G128" s="67">
        <v>0.48103670999999998</v>
      </c>
      <c r="H128" s="67">
        <v>27.7</v>
      </c>
    </row>
    <row r="129" spans="1:8" x14ac:dyDescent="0.35">
      <c r="B129">
        <v>2023</v>
      </c>
      <c r="C129" s="67">
        <v>0.83725181000000004</v>
      </c>
      <c r="D129" s="67">
        <v>0.66666999999999998</v>
      </c>
      <c r="E129" s="66">
        <v>3</v>
      </c>
      <c r="F129" s="67">
        <v>0.40673182000000002</v>
      </c>
      <c r="G129" s="67">
        <v>0.39735382000000002</v>
      </c>
      <c r="H129" s="67">
        <v>27.72</v>
      </c>
    </row>
    <row r="130" spans="1:8" x14ac:dyDescent="0.35">
      <c r="B130">
        <v>2024</v>
      </c>
      <c r="C130" s="67">
        <v>0.67750834000000004</v>
      </c>
      <c r="D130" s="67">
        <v>0.72221999999999997</v>
      </c>
      <c r="E130" s="66">
        <v>3</v>
      </c>
      <c r="F130" s="67">
        <v>0.58190602000000002</v>
      </c>
      <c r="G130" s="67">
        <v>0.35660186999999999</v>
      </c>
      <c r="H130" s="67">
        <v>27.71</v>
      </c>
    </row>
    <row r="131" spans="1:8" x14ac:dyDescent="0.35">
      <c r="A131" t="s">
        <v>91</v>
      </c>
      <c r="B131">
        <v>2022</v>
      </c>
      <c r="C131" s="67">
        <v>2.7788043</v>
      </c>
      <c r="D131" s="67">
        <v>0.66666999999999998</v>
      </c>
      <c r="E131" s="66">
        <v>3</v>
      </c>
      <c r="F131" s="67">
        <v>0.41837355999999998</v>
      </c>
      <c r="G131" s="67">
        <v>0.23279714000000001</v>
      </c>
      <c r="H131" s="67">
        <v>27.74</v>
      </c>
    </row>
    <row r="132" spans="1:8" x14ac:dyDescent="0.35">
      <c r="B132">
        <v>2023</v>
      </c>
      <c r="C132" s="67">
        <v>2.9074803</v>
      </c>
      <c r="D132" s="67">
        <v>0.66666999999999998</v>
      </c>
      <c r="E132" s="66">
        <v>3</v>
      </c>
      <c r="F132" s="67">
        <v>0.53179147000000004</v>
      </c>
      <c r="G132" s="67">
        <v>0.20544129999999999</v>
      </c>
      <c r="H132" s="67">
        <v>29.62</v>
      </c>
    </row>
    <row r="133" spans="1:8" x14ac:dyDescent="0.35">
      <c r="B133">
        <v>2024</v>
      </c>
      <c r="C133" s="67">
        <v>2.1530238000000002</v>
      </c>
      <c r="D133" s="67">
        <v>0.72221999999999997</v>
      </c>
      <c r="E133" s="66">
        <v>3</v>
      </c>
      <c r="F133" s="67">
        <v>0.4808037</v>
      </c>
      <c r="G133" s="67">
        <v>0.19409909</v>
      </c>
      <c r="H133" s="67">
        <v>29.64</v>
      </c>
    </row>
    <row r="134" spans="1:8" x14ac:dyDescent="0.35">
      <c r="A134" t="s">
        <v>92</v>
      </c>
      <c r="B134">
        <v>2022</v>
      </c>
      <c r="C134" s="67">
        <v>1.2980889</v>
      </c>
      <c r="D134" s="67">
        <v>0.66666999999999998</v>
      </c>
      <c r="E134" s="66">
        <v>3</v>
      </c>
      <c r="F134" s="67">
        <v>0.88014291</v>
      </c>
      <c r="G134" s="67">
        <v>1.3479131</v>
      </c>
      <c r="H134" s="67">
        <v>29.76</v>
      </c>
    </row>
    <row r="135" spans="1:8" x14ac:dyDescent="0.35">
      <c r="B135">
        <v>2023</v>
      </c>
      <c r="C135" s="67">
        <v>0.65892664000000001</v>
      </c>
      <c r="D135" s="67">
        <v>0.66666999999999998</v>
      </c>
      <c r="E135" s="66">
        <v>3</v>
      </c>
      <c r="F135" s="67">
        <v>0.51044862999999996</v>
      </c>
      <c r="G135" s="67">
        <v>0.39083437999999998</v>
      </c>
      <c r="H135" s="67">
        <v>32.380000000000003</v>
      </c>
    </row>
    <row r="136" spans="1:8" x14ac:dyDescent="0.35">
      <c r="B136">
        <v>2024</v>
      </c>
      <c r="C136" s="67">
        <v>0.96517666999999996</v>
      </c>
      <c r="D136" s="67">
        <v>0.61111000000000004</v>
      </c>
      <c r="E136" s="66">
        <v>3</v>
      </c>
      <c r="F136" s="67">
        <v>0.58084577000000004</v>
      </c>
      <c r="G136" s="67">
        <v>0.39109128999999998</v>
      </c>
      <c r="H136" s="67">
        <v>32.409999999999997</v>
      </c>
    </row>
    <row r="137" spans="1:8" x14ac:dyDescent="0.35">
      <c r="A137" t="s">
        <v>93</v>
      </c>
      <c r="B137">
        <v>2022</v>
      </c>
      <c r="C137" s="67">
        <v>4.1391039000000003</v>
      </c>
      <c r="D137" s="67">
        <v>0.61111000000000004</v>
      </c>
      <c r="E137" s="66">
        <v>3</v>
      </c>
      <c r="F137" s="67">
        <v>0.56464904000000005</v>
      </c>
      <c r="G137" s="67">
        <v>1.194858</v>
      </c>
      <c r="H137" s="67">
        <v>32.47</v>
      </c>
    </row>
    <row r="138" spans="1:8" x14ac:dyDescent="0.35">
      <c r="B138">
        <v>2023</v>
      </c>
      <c r="C138" s="67">
        <v>4.3126116999999997</v>
      </c>
      <c r="D138" s="67">
        <v>0.61111000000000004</v>
      </c>
      <c r="E138" s="66">
        <v>3</v>
      </c>
      <c r="F138" s="67">
        <v>0.55682233999999997</v>
      </c>
      <c r="G138" s="67">
        <v>1.0912396</v>
      </c>
      <c r="H138" s="67">
        <v>32.83</v>
      </c>
    </row>
    <row r="139" spans="1:8" x14ac:dyDescent="0.35">
      <c r="B139">
        <v>2024</v>
      </c>
      <c r="C139" s="67">
        <v>4.1235849</v>
      </c>
      <c r="D139" s="67">
        <v>0.66666999999999998</v>
      </c>
      <c r="E139" s="66">
        <v>3</v>
      </c>
      <c r="F139" s="67">
        <v>0.59517591000000003</v>
      </c>
      <c r="G139" s="67">
        <v>1.3573088</v>
      </c>
      <c r="H139" s="67">
        <v>32.86</v>
      </c>
    </row>
    <row r="140" spans="1:8" x14ac:dyDescent="0.35">
      <c r="A140" t="s">
        <v>94</v>
      </c>
      <c r="B140">
        <v>2022</v>
      </c>
      <c r="C140" s="67">
        <v>1.7995664</v>
      </c>
      <c r="D140" s="67">
        <v>0.66666999999999998</v>
      </c>
      <c r="E140" s="66">
        <v>3</v>
      </c>
      <c r="F140" s="67">
        <v>0.59526884999999996</v>
      </c>
      <c r="G140" s="67">
        <v>0.14161438000000001</v>
      </c>
      <c r="H140" s="67">
        <v>32.94</v>
      </c>
    </row>
    <row r="141" spans="1:8" x14ac:dyDescent="0.35">
      <c r="B141">
        <v>2023</v>
      </c>
      <c r="C141" s="67">
        <v>2.2979671000000002</v>
      </c>
      <c r="D141" s="67">
        <v>0.66666999999999998</v>
      </c>
      <c r="E141" s="66">
        <v>3</v>
      </c>
      <c r="F141" s="67">
        <v>0.35247943999999998</v>
      </c>
      <c r="G141" s="67">
        <v>0.14285252000000001</v>
      </c>
      <c r="H141" s="67">
        <v>28.85</v>
      </c>
    </row>
    <row r="142" spans="1:8" x14ac:dyDescent="0.35">
      <c r="B142">
        <v>2024</v>
      </c>
      <c r="C142" s="67">
        <v>1.5276908</v>
      </c>
      <c r="D142" s="67">
        <v>0.66666999999999998</v>
      </c>
      <c r="E142" s="66">
        <v>3</v>
      </c>
      <c r="F142" s="67">
        <v>0.27611426</v>
      </c>
      <c r="G142" s="67">
        <v>0.15850025000000001</v>
      </c>
      <c r="H142" s="67">
        <v>28.86</v>
      </c>
    </row>
    <row r="143" spans="1:8" x14ac:dyDescent="0.35">
      <c r="A143" t="s">
        <v>95</v>
      </c>
      <c r="B143">
        <v>2022</v>
      </c>
      <c r="C143" s="67">
        <v>2.5803012999999999</v>
      </c>
      <c r="D143" s="67">
        <v>0.61111000000000004</v>
      </c>
      <c r="E143" s="66">
        <v>3</v>
      </c>
      <c r="F143" s="67">
        <v>0.80707781000000001</v>
      </c>
      <c r="G143" s="67">
        <v>0.30617295</v>
      </c>
      <c r="H143" s="67">
        <v>28.87</v>
      </c>
    </row>
    <row r="144" spans="1:8" x14ac:dyDescent="0.35">
      <c r="B144">
        <v>2023</v>
      </c>
      <c r="C144" s="67">
        <v>2.5660875999999999</v>
      </c>
      <c r="D144" s="67">
        <v>0.61111000000000004</v>
      </c>
      <c r="E144" s="66">
        <v>4</v>
      </c>
      <c r="F144" s="67">
        <v>0.73319736999999996</v>
      </c>
      <c r="G144" s="67">
        <v>0.29284200999999999</v>
      </c>
      <c r="H144" s="67">
        <v>30.73</v>
      </c>
    </row>
    <row r="145" spans="1:8" x14ac:dyDescent="0.35">
      <c r="B145">
        <v>2024</v>
      </c>
      <c r="C145" s="67">
        <v>1.7795004000000001</v>
      </c>
      <c r="D145" s="67">
        <v>0.61111000000000004</v>
      </c>
      <c r="E145" s="66">
        <v>3</v>
      </c>
      <c r="F145" s="67">
        <v>0.74347207000000004</v>
      </c>
      <c r="G145" s="67">
        <v>0.31682758</v>
      </c>
      <c r="H145" s="67">
        <v>30.8</v>
      </c>
    </row>
    <row r="146" spans="1:8" x14ac:dyDescent="0.35">
      <c r="A146" t="s">
        <v>162</v>
      </c>
      <c r="B146">
        <v>2022</v>
      </c>
      <c r="C146" s="67">
        <v>3.1863163999999999</v>
      </c>
      <c r="D146" s="67">
        <v>0.66666999999999998</v>
      </c>
      <c r="E146" s="66">
        <v>3</v>
      </c>
      <c r="F146" s="67">
        <v>0.68907414</v>
      </c>
      <c r="G146" s="67">
        <v>1.1863325</v>
      </c>
      <c r="H146" s="67">
        <v>31.02</v>
      </c>
    </row>
    <row r="147" spans="1:8" x14ac:dyDescent="0.35">
      <c r="B147">
        <v>2023</v>
      </c>
      <c r="C147" s="67">
        <v>2.6097679999999999</v>
      </c>
      <c r="D147" s="67">
        <v>0.66666999999999998</v>
      </c>
      <c r="E147" s="66">
        <v>3</v>
      </c>
      <c r="F147" s="67">
        <v>0.62402380999999996</v>
      </c>
      <c r="G147" s="67">
        <v>0.90005276000000001</v>
      </c>
      <c r="H147" s="67">
        <v>27.28</v>
      </c>
    </row>
    <row r="148" spans="1:8" x14ac:dyDescent="0.35">
      <c r="B148">
        <v>2024</v>
      </c>
      <c r="C148" s="67">
        <v>2.3278536000000001</v>
      </c>
      <c r="D148" s="67">
        <v>0.72221999999999997</v>
      </c>
      <c r="E148" s="66">
        <v>3</v>
      </c>
      <c r="F148" s="67">
        <v>0.63420295000000004</v>
      </c>
      <c r="G148" s="67">
        <v>1.1048602999999999</v>
      </c>
      <c r="H148" s="67">
        <v>25.75</v>
      </c>
    </row>
    <row r="149" spans="1:8" x14ac:dyDescent="0.35">
      <c r="A149" t="s">
        <v>163</v>
      </c>
      <c r="B149">
        <v>2022</v>
      </c>
      <c r="C149" s="67">
        <v>1.5129509000000001</v>
      </c>
      <c r="D149" s="67">
        <v>0.77778000000000003</v>
      </c>
      <c r="E149" s="66">
        <v>3</v>
      </c>
      <c r="F149" s="67">
        <v>0.63807515000000004</v>
      </c>
      <c r="G149" s="67">
        <v>1.0062555</v>
      </c>
      <c r="H149" s="67">
        <v>25.71</v>
      </c>
    </row>
    <row r="150" spans="1:8" x14ac:dyDescent="0.35">
      <c r="B150">
        <v>2023</v>
      </c>
      <c r="C150" s="67">
        <v>1.5133072000000001</v>
      </c>
      <c r="D150" s="67">
        <v>0.77778000000000003</v>
      </c>
      <c r="E150" s="66">
        <v>4</v>
      </c>
      <c r="F150" s="67">
        <v>0.64155561999999999</v>
      </c>
      <c r="G150" s="67">
        <v>0.92044011000000003</v>
      </c>
      <c r="H150" s="67">
        <v>29.05</v>
      </c>
    </row>
    <row r="151" spans="1:8" x14ac:dyDescent="0.35">
      <c r="B151">
        <v>2024</v>
      </c>
      <c r="C151" s="67">
        <v>1.5205477999999999</v>
      </c>
      <c r="D151" s="67">
        <v>0.77778000000000003</v>
      </c>
      <c r="E151" s="66">
        <v>4</v>
      </c>
      <c r="F151" s="67">
        <v>0.66858976999999997</v>
      </c>
      <c r="G151" s="67">
        <v>0.87967784000000004</v>
      </c>
      <c r="H151" s="67">
        <v>29</v>
      </c>
    </row>
    <row r="152" spans="1:8" x14ac:dyDescent="0.35">
      <c r="A152" t="s">
        <v>167</v>
      </c>
      <c r="B152">
        <v>2022</v>
      </c>
      <c r="C152" s="67">
        <v>0.48112106999999998</v>
      </c>
      <c r="D152" s="67">
        <v>0.83333000000000002</v>
      </c>
      <c r="E152" s="66">
        <v>3</v>
      </c>
      <c r="F152" s="67">
        <v>0.62491889</v>
      </c>
      <c r="G152" s="67">
        <v>0.92723184000000003</v>
      </c>
      <c r="H152" s="67">
        <v>28.95</v>
      </c>
    </row>
    <row r="153" spans="1:8" x14ac:dyDescent="0.35">
      <c r="B153">
        <v>2023</v>
      </c>
      <c r="C153" s="67">
        <v>0.46156818999999999</v>
      </c>
      <c r="D153" s="67">
        <v>0.83333000000000002</v>
      </c>
      <c r="E153" s="66">
        <v>3</v>
      </c>
      <c r="F153" s="67">
        <v>0.61471830999999999</v>
      </c>
      <c r="G153" s="67">
        <v>0.85724540000000005</v>
      </c>
      <c r="H153" s="67">
        <v>27.66</v>
      </c>
    </row>
    <row r="154" spans="1:8" x14ac:dyDescent="0.35">
      <c r="B154">
        <v>2024</v>
      </c>
      <c r="C154" s="67">
        <v>0.45967234000000001</v>
      </c>
      <c r="D154" s="67">
        <v>0.83333000000000002</v>
      </c>
      <c r="E154" s="66">
        <v>2</v>
      </c>
      <c r="F154" s="67">
        <v>0.65157863999999999</v>
      </c>
      <c r="G154" s="67">
        <v>0.85072886000000003</v>
      </c>
      <c r="H154" s="67">
        <v>27.88</v>
      </c>
    </row>
    <row r="155" spans="1:8" x14ac:dyDescent="0.35">
      <c r="A155" t="s">
        <v>96</v>
      </c>
      <c r="B155">
        <v>2022</v>
      </c>
      <c r="C155" s="67">
        <v>6.4000949</v>
      </c>
      <c r="D155" s="67">
        <v>0.72221999999999997</v>
      </c>
      <c r="E155" s="66">
        <v>3</v>
      </c>
      <c r="F155" s="67">
        <v>0.93156145999999995</v>
      </c>
      <c r="G155" s="67">
        <v>2.1441634000000001</v>
      </c>
      <c r="H155" s="67">
        <v>28.07</v>
      </c>
    </row>
    <row r="156" spans="1:8" x14ac:dyDescent="0.35">
      <c r="B156">
        <v>2023</v>
      </c>
      <c r="C156" s="67">
        <v>5.5487677</v>
      </c>
      <c r="D156" s="67">
        <v>0.66666999999999998</v>
      </c>
      <c r="E156" s="66">
        <v>3</v>
      </c>
      <c r="F156" s="67">
        <v>0.82583563000000004</v>
      </c>
      <c r="G156" s="67">
        <v>1.4488338000000001</v>
      </c>
      <c r="H156" s="67">
        <v>29.68</v>
      </c>
    </row>
    <row r="157" spans="1:8" x14ac:dyDescent="0.35">
      <c r="B157">
        <v>2024</v>
      </c>
      <c r="C157" s="67">
        <v>4.4798381999999997</v>
      </c>
      <c r="D157" s="67">
        <v>0.66666999999999998</v>
      </c>
      <c r="E157" s="66">
        <v>3</v>
      </c>
      <c r="F157" s="67">
        <v>0.92418559</v>
      </c>
      <c r="G157" s="67">
        <v>1.6130513</v>
      </c>
      <c r="H157" s="67">
        <v>29.65</v>
      </c>
    </row>
    <row r="158" spans="1:8" x14ac:dyDescent="0.35">
      <c r="A158" t="s">
        <v>97</v>
      </c>
      <c r="B158">
        <v>2022</v>
      </c>
      <c r="C158" s="67">
        <v>2.9331003999999998</v>
      </c>
      <c r="D158" s="67">
        <v>0.61111000000000004</v>
      </c>
      <c r="E158" s="66">
        <v>3</v>
      </c>
      <c r="F158" s="67">
        <v>0.57027517000000005</v>
      </c>
      <c r="G158" s="67">
        <v>0.73562070000000002</v>
      </c>
      <c r="H158" s="67">
        <v>29.77</v>
      </c>
    </row>
    <row r="159" spans="1:8" x14ac:dyDescent="0.35">
      <c r="B159">
        <v>2023</v>
      </c>
      <c r="C159" s="67">
        <v>2.6920983999999999</v>
      </c>
      <c r="D159" s="67">
        <v>0.66666999999999998</v>
      </c>
      <c r="E159" s="66">
        <v>3</v>
      </c>
      <c r="F159" s="67">
        <v>0.53267023999999996</v>
      </c>
      <c r="G159" s="67">
        <v>0.56002262999999997</v>
      </c>
      <c r="H159" s="67">
        <v>32.11</v>
      </c>
    </row>
    <row r="160" spans="1:8" x14ac:dyDescent="0.35">
      <c r="B160">
        <v>2024</v>
      </c>
      <c r="C160" s="67">
        <v>2.5155265</v>
      </c>
      <c r="D160" s="67">
        <v>0.77778000000000003</v>
      </c>
      <c r="E160" s="66">
        <v>2</v>
      </c>
      <c r="F160" s="67">
        <v>0.57949910999999998</v>
      </c>
      <c r="G160" s="67">
        <v>0.73827841000000005</v>
      </c>
      <c r="H160" s="67">
        <v>32.159999999999997</v>
      </c>
    </row>
    <row r="161" spans="1:8" x14ac:dyDescent="0.35">
      <c r="A161" t="s">
        <v>98</v>
      </c>
      <c r="B161">
        <v>2022</v>
      </c>
      <c r="C161" s="67">
        <v>1.1139413</v>
      </c>
      <c r="D161" s="67">
        <v>0.61111000000000004</v>
      </c>
      <c r="E161" s="66">
        <v>3</v>
      </c>
      <c r="F161" s="67">
        <v>0.93156145999999995</v>
      </c>
      <c r="G161" s="67">
        <v>5.5408892999999999</v>
      </c>
      <c r="H161" s="67">
        <v>32.07</v>
      </c>
    </row>
    <row r="162" spans="1:8" x14ac:dyDescent="0.35">
      <c r="B162">
        <v>2023</v>
      </c>
      <c r="C162" s="67">
        <v>1.4179531999999999</v>
      </c>
      <c r="D162" s="67">
        <v>0.61111000000000004</v>
      </c>
      <c r="E162" s="66">
        <v>3</v>
      </c>
      <c r="F162" s="67">
        <v>0.58931149000000005</v>
      </c>
      <c r="G162" s="67">
        <v>1.2997634</v>
      </c>
      <c r="H162" s="67">
        <v>30.94</v>
      </c>
    </row>
    <row r="163" spans="1:8" x14ac:dyDescent="0.35">
      <c r="B163">
        <v>2024</v>
      </c>
      <c r="C163" s="67">
        <v>1.4202104</v>
      </c>
      <c r="D163" s="67">
        <v>0.61111000000000004</v>
      </c>
      <c r="E163" s="66">
        <v>3</v>
      </c>
      <c r="F163" s="67">
        <v>0.69467023000000006</v>
      </c>
      <c r="G163" s="67">
        <v>2.1478714000000001</v>
      </c>
      <c r="H163" s="67">
        <v>30.93</v>
      </c>
    </row>
    <row r="164" spans="1:8" x14ac:dyDescent="0.35">
      <c r="A164" t="s">
        <v>99</v>
      </c>
      <c r="B164">
        <v>2022</v>
      </c>
      <c r="C164" s="67">
        <v>2.1735432000000001</v>
      </c>
      <c r="D164" s="67">
        <v>0.72221999999999997</v>
      </c>
      <c r="E164" s="66">
        <v>3</v>
      </c>
      <c r="F164" s="67">
        <v>0.50277291999999996</v>
      </c>
      <c r="G164" s="67">
        <v>0.54049884000000004</v>
      </c>
      <c r="H164" s="67">
        <v>31.01</v>
      </c>
    </row>
    <row r="165" spans="1:8" x14ac:dyDescent="0.35">
      <c r="B165">
        <v>2023</v>
      </c>
      <c r="C165" s="67">
        <v>2.0562364</v>
      </c>
      <c r="D165" s="67">
        <v>0.72221999999999997</v>
      </c>
      <c r="E165" s="66">
        <v>3</v>
      </c>
      <c r="F165" s="67">
        <v>0.52948684000000001</v>
      </c>
      <c r="G165" s="67">
        <v>0.64764202000000004</v>
      </c>
      <c r="H165" s="67">
        <v>28.22</v>
      </c>
    </row>
    <row r="166" spans="1:8" x14ac:dyDescent="0.35">
      <c r="B166">
        <v>2024</v>
      </c>
      <c r="C166" s="67">
        <v>1.8578081</v>
      </c>
      <c r="D166" s="67">
        <v>0.72221999999999997</v>
      </c>
      <c r="E166" s="66">
        <v>3</v>
      </c>
      <c r="F166" s="67">
        <v>0.49892287000000002</v>
      </c>
      <c r="G166" s="67">
        <v>0.62309146000000004</v>
      </c>
      <c r="H166" s="67">
        <v>28.2</v>
      </c>
    </row>
    <row r="167" spans="1:8" x14ac:dyDescent="0.35">
      <c r="A167" t="s">
        <v>100</v>
      </c>
      <c r="B167">
        <v>2022</v>
      </c>
      <c r="C167" s="67">
        <v>1.7318283000000001</v>
      </c>
      <c r="D167" s="67">
        <v>0.72221999999999997</v>
      </c>
      <c r="E167" s="66">
        <v>2</v>
      </c>
      <c r="F167" s="67">
        <v>0.52211596000000005</v>
      </c>
      <c r="G167" s="67">
        <v>0.74910418999999995</v>
      </c>
      <c r="H167" s="67">
        <v>27.99</v>
      </c>
    </row>
    <row r="168" spans="1:8" x14ac:dyDescent="0.35">
      <c r="B168">
        <v>2023</v>
      </c>
      <c r="C168" s="67">
        <v>1.4347179999999999</v>
      </c>
      <c r="D168" s="67">
        <v>0.72221999999999997</v>
      </c>
      <c r="E168" s="66">
        <v>3</v>
      </c>
      <c r="F168" s="67">
        <v>0.55565074000000003</v>
      </c>
      <c r="G168" s="67">
        <v>0.57016838999999997</v>
      </c>
      <c r="H168" s="67">
        <v>29.04</v>
      </c>
    </row>
    <row r="169" spans="1:8" x14ac:dyDescent="0.35">
      <c r="B169">
        <v>2024</v>
      </c>
      <c r="C169" s="67">
        <v>1.5819890999999999</v>
      </c>
      <c r="D169" s="67">
        <v>0.72221999999999997</v>
      </c>
      <c r="E169" s="66">
        <v>3</v>
      </c>
      <c r="F169" s="67">
        <v>0.41235248000000002</v>
      </c>
      <c r="G169" s="67">
        <v>0.65316134000000003</v>
      </c>
      <c r="H169" s="67">
        <v>28.99</v>
      </c>
    </row>
    <row r="170" spans="1:8" x14ac:dyDescent="0.35">
      <c r="A170" t="s">
        <v>164</v>
      </c>
      <c r="B170">
        <v>2022</v>
      </c>
      <c r="C170" s="67">
        <v>2.2898787999999999</v>
      </c>
      <c r="D170" s="67">
        <v>0.61111000000000004</v>
      </c>
      <c r="E170" s="66">
        <v>3</v>
      </c>
      <c r="F170" s="67">
        <v>0.35964362999999999</v>
      </c>
      <c r="G170" s="67">
        <v>0.26340039999999998</v>
      </c>
      <c r="H170" s="67">
        <v>29</v>
      </c>
    </row>
    <row r="171" spans="1:8" x14ac:dyDescent="0.35">
      <c r="B171">
        <v>2023</v>
      </c>
      <c r="C171" s="67">
        <v>2.1497063999999999</v>
      </c>
      <c r="D171" s="67">
        <v>0.66666999999999998</v>
      </c>
      <c r="E171" s="66">
        <v>3</v>
      </c>
      <c r="F171" s="67">
        <v>0.40022987999999998</v>
      </c>
      <c r="G171" s="67">
        <v>0.12516704000000001</v>
      </c>
      <c r="H171" s="67">
        <v>29.17</v>
      </c>
    </row>
    <row r="172" spans="1:8" x14ac:dyDescent="0.35">
      <c r="B172">
        <v>2024</v>
      </c>
      <c r="C172" s="67">
        <v>2.3404205999999999</v>
      </c>
      <c r="D172" s="67">
        <v>0.66666999999999998</v>
      </c>
      <c r="E172" s="66">
        <v>3</v>
      </c>
      <c r="F172" s="67">
        <v>0.40995383000000002</v>
      </c>
      <c r="G172" s="67">
        <v>0.13928347999999999</v>
      </c>
      <c r="H172" s="67">
        <v>29.17</v>
      </c>
    </row>
    <row r="173" spans="1:8" x14ac:dyDescent="0.35">
      <c r="A173" t="s">
        <v>101</v>
      </c>
      <c r="B173">
        <v>2022</v>
      </c>
      <c r="C173" s="67">
        <v>0.73067212000000004</v>
      </c>
      <c r="D173" s="67">
        <v>0.55556000000000005</v>
      </c>
      <c r="E173" s="66">
        <v>3</v>
      </c>
      <c r="F173" s="67">
        <v>0.38937064999999998</v>
      </c>
      <c r="G173" s="67">
        <v>0.51985391999999997</v>
      </c>
      <c r="H173" s="67">
        <v>29.14</v>
      </c>
    </row>
    <row r="174" spans="1:8" x14ac:dyDescent="0.35">
      <c r="B174">
        <v>2023</v>
      </c>
      <c r="C174" s="67">
        <v>0.76467755000000004</v>
      </c>
      <c r="D174" s="67">
        <v>0.61111000000000004</v>
      </c>
      <c r="E174" s="66">
        <v>3</v>
      </c>
      <c r="F174" s="67">
        <v>0.38771146000000001</v>
      </c>
      <c r="G174" s="67">
        <v>0.51900270000000004</v>
      </c>
      <c r="H174" s="67">
        <v>27.27</v>
      </c>
    </row>
    <row r="175" spans="1:8" x14ac:dyDescent="0.35">
      <c r="B175">
        <v>2024</v>
      </c>
      <c r="C175" s="67">
        <v>0.57176086000000004</v>
      </c>
      <c r="D175" s="67">
        <v>0.61111000000000004</v>
      </c>
      <c r="E175" s="66">
        <v>3</v>
      </c>
      <c r="F175" s="67">
        <v>0.31467703000000002</v>
      </c>
      <c r="G175" s="67">
        <v>0.37151084000000001</v>
      </c>
      <c r="H175" s="67">
        <v>27.18</v>
      </c>
    </row>
    <row r="176" spans="1:8" x14ac:dyDescent="0.35">
      <c r="A176" t="s">
        <v>103</v>
      </c>
      <c r="B176">
        <v>2022</v>
      </c>
      <c r="C176" s="67">
        <v>3.7376420000000001</v>
      </c>
      <c r="D176" s="67">
        <v>0.77778000000000003</v>
      </c>
      <c r="E176" s="66">
        <v>4</v>
      </c>
      <c r="F176" s="67">
        <v>0.33382214999999998</v>
      </c>
      <c r="G176" s="67">
        <v>0.23278763999999999</v>
      </c>
      <c r="H176" s="67">
        <v>30.41</v>
      </c>
    </row>
    <row r="177" spans="1:8" x14ac:dyDescent="0.35">
      <c r="B177">
        <v>2023</v>
      </c>
      <c r="C177" s="67">
        <v>2.8978630999999999</v>
      </c>
      <c r="D177" s="67">
        <v>0.77778000000000003</v>
      </c>
      <c r="E177" s="66">
        <v>5</v>
      </c>
      <c r="F177" s="67">
        <v>0.26498933000000002</v>
      </c>
      <c r="G177" s="67">
        <v>0.17030893</v>
      </c>
      <c r="H177" s="67">
        <v>27.77</v>
      </c>
    </row>
    <row r="178" spans="1:8" x14ac:dyDescent="0.35">
      <c r="B178">
        <v>2024</v>
      </c>
      <c r="C178" s="67">
        <v>2.3306182</v>
      </c>
      <c r="D178" s="67">
        <v>0.77778000000000003</v>
      </c>
      <c r="E178" s="66">
        <v>4</v>
      </c>
      <c r="F178" s="67">
        <v>0.32492954000000002</v>
      </c>
      <c r="G178" s="67">
        <v>0.19679579999999999</v>
      </c>
      <c r="H178" s="67">
        <v>27.77</v>
      </c>
    </row>
    <row r="179" spans="1:8" x14ac:dyDescent="0.35">
      <c r="A179" t="s">
        <v>104</v>
      </c>
      <c r="B179">
        <v>2022</v>
      </c>
      <c r="C179" s="67">
        <v>0.89125940000000003</v>
      </c>
      <c r="D179" s="67">
        <v>0.55556000000000005</v>
      </c>
      <c r="E179" s="66">
        <v>3</v>
      </c>
      <c r="F179" s="67">
        <v>0.65446570999999998</v>
      </c>
      <c r="G179" s="67">
        <v>1.3402997000000001</v>
      </c>
      <c r="H179" s="67">
        <v>27.88</v>
      </c>
    </row>
    <row r="180" spans="1:8" x14ac:dyDescent="0.35">
      <c r="B180">
        <v>2023</v>
      </c>
      <c r="C180" s="67">
        <v>0.94420061</v>
      </c>
      <c r="D180" s="67">
        <v>0.55556000000000005</v>
      </c>
      <c r="E180" s="66">
        <v>3</v>
      </c>
      <c r="F180" s="67">
        <v>0.65564109000000004</v>
      </c>
      <c r="G180" s="67">
        <v>1.6135079999999999</v>
      </c>
      <c r="H180" s="67">
        <v>26.92</v>
      </c>
    </row>
    <row r="181" spans="1:8" x14ac:dyDescent="0.35">
      <c r="B181">
        <v>2024</v>
      </c>
      <c r="C181" s="67">
        <v>0.91541326999999995</v>
      </c>
      <c r="D181" s="67">
        <v>0.61111000000000004</v>
      </c>
      <c r="E181" s="66">
        <v>4</v>
      </c>
      <c r="F181" s="67">
        <v>0.78943370000000002</v>
      </c>
      <c r="G181" s="67">
        <v>2.6376444999999999</v>
      </c>
      <c r="H181" s="67">
        <v>26.82</v>
      </c>
    </row>
    <row r="182" spans="1:8" x14ac:dyDescent="0.35">
      <c r="A182" t="s">
        <v>105</v>
      </c>
      <c r="B182">
        <v>2022</v>
      </c>
      <c r="C182" s="67">
        <v>5.6906277000000003</v>
      </c>
      <c r="D182" s="67">
        <v>0.72221999999999997</v>
      </c>
      <c r="E182" s="66">
        <v>5</v>
      </c>
      <c r="F182" s="67">
        <v>0.36727558999999999</v>
      </c>
      <c r="G182" s="67">
        <v>0.16430497999999999</v>
      </c>
      <c r="H182" s="67">
        <v>26.78</v>
      </c>
    </row>
    <row r="183" spans="1:8" x14ac:dyDescent="0.35">
      <c r="B183">
        <v>2023</v>
      </c>
      <c r="C183" s="67">
        <v>4.1778446000000002</v>
      </c>
      <c r="D183" s="67">
        <v>0.77778000000000003</v>
      </c>
      <c r="E183" s="66">
        <v>5</v>
      </c>
      <c r="F183" s="67">
        <v>0.34309789000000002</v>
      </c>
      <c r="G183" s="67">
        <v>0.14907672999999999</v>
      </c>
      <c r="H183" s="67">
        <v>28.99</v>
      </c>
    </row>
    <row r="184" spans="1:8" x14ac:dyDescent="0.35">
      <c r="B184">
        <v>2024</v>
      </c>
      <c r="C184" s="67">
        <v>4.6074894999999998</v>
      </c>
      <c r="D184" s="67">
        <v>0.77778000000000003</v>
      </c>
      <c r="E184" s="66">
        <v>3</v>
      </c>
      <c r="F184" s="67">
        <v>0.33184630999999998</v>
      </c>
      <c r="G184" s="67">
        <v>0.12953016000000001</v>
      </c>
      <c r="H184" s="67">
        <v>29</v>
      </c>
    </row>
    <row r="185" spans="1:8" x14ac:dyDescent="0.35">
      <c r="A185" t="s">
        <v>106</v>
      </c>
      <c r="B185">
        <v>2022</v>
      </c>
      <c r="C185" s="67">
        <v>1.1409290999999999</v>
      </c>
      <c r="D185" s="67">
        <v>0.72221999999999997</v>
      </c>
      <c r="E185" s="66">
        <v>3</v>
      </c>
      <c r="F185" s="67">
        <v>0.71361079000000005</v>
      </c>
      <c r="G185" s="67">
        <v>2.0488396</v>
      </c>
      <c r="H185" s="67">
        <v>29.17</v>
      </c>
    </row>
    <row r="186" spans="1:8" x14ac:dyDescent="0.35">
      <c r="B186">
        <v>2023</v>
      </c>
      <c r="C186" s="67">
        <v>1.0270049999999999</v>
      </c>
      <c r="D186" s="67">
        <v>0.77778000000000003</v>
      </c>
      <c r="E186" s="66">
        <v>3</v>
      </c>
      <c r="F186" s="67">
        <v>0.68743726999999999</v>
      </c>
      <c r="G186" s="67">
        <v>1.8703844999999999</v>
      </c>
      <c r="H186" s="67">
        <v>29.17</v>
      </c>
    </row>
    <row r="187" spans="1:8" x14ac:dyDescent="0.35">
      <c r="B187">
        <v>2024</v>
      </c>
      <c r="C187" s="67">
        <v>1.0142012</v>
      </c>
      <c r="D187" s="67">
        <v>0.77778000000000003</v>
      </c>
      <c r="E187" s="66">
        <v>2</v>
      </c>
      <c r="F187" s="67">
        <v>0.66029413000000003</v>
      </c>
      <c r="G187" s="67">
        <v>1.7275164999999999</v>
      </c>
      <c r="H187" s="67">
        <v>29.14</v>
      </c>
    </row>
    <row r="188" spans="1:8" x14ac:dyDescent="0.35">
      <c r="A188" t="s">
        <v>108</v>
      </c>
      <c r="B188">
        <v>2022</v>
      </c>
      <c r="C188" s="67">
        <v>0.87914809000000005</v>
      </c>
      <c r="D188" s="67">
        <v>0.72221999999999997</v>
      </c>
      <c r="E188" s="66">
        <v>3</v>
      </c>
      <c r="F188" s="67">
        <v>0.66285442000000006</v>
      </c>
      <c r="G188" s="67">
        <v>0.68887938999999998</v>
      </c>
      <c r="H188" s="67">
        <v>27.27</v>
      </c>
    </row>
    <row r="189" spans="1:8" x14ac:dyDescent="0.35">
      <c r="B189">
        <v>2023</v>
      </c>
      <c r="C189" s="67">
        <v>0.61600708000000004</v>
      </c>
      <c r="D189" s="67">
        <v>0.72221999999999997</v>
      </c>
      <c r="E189" s="66">
        <v>2</v>
      </c>
      <c r="F189" s="67">
        <v>0.55968107</v>
      </c>
      <c r="G189" s="67">
        <v>0.57556934000000004</v>
      </c>
      <c r="H189" s="67">
        <v>27.18</v>
      </c>
    </row>
    <row r="190" spans="1:8" x14ac:dyDescent="0.35">
      <c r="B190">
        <v>2024</v>
      </c>
      <c r="C190" s="67">
        <v>0.45910552999999998</v>
      </c>
      <c r="D190" s="67">
        <v>0.66666999999999998</v>
      </c>
      <c r="E190" s="66">
        <v>3</v>
      </c>
      <c r="F190" s="67">
        <v>0.44482324000000001</v>
      </c>
      <c r="G190" s="67">
        <v>0.42670282999999998</v>
      </c>
      <c r="H190" s="67">
        <v>27.43</v>
      </c>
    </row>
    <row r="191" spans="1:8" x14ac:dyDescent="0.35">
      <c r="A191" t="s">
        <v>107</v>
      </c>
      <c r="B191">
        <v>2022</v>
      </c>
      <c r="C191" s="67">
        <v>6.4000949</v>
      </c>
      <c r="D191" s="67">
        <v>0.72221999999999997</v>
      </c>
      <c r="E191" s="66">
        <v>3</v>
      </c>
      <c r="F191" s="67">
        <v>0.80923942000000004</v>
      </c>
      <c r="G191" s="67">
        <v>3.5826722000000002</v>
      </c>
      <c r="H191" s="67">
        <v>30.54</v>
      </c>
    </row>
    <row r="192" spans="1:8" x14ac:dyDescent="0.35">
      <c r="B192">
        <v>2023</v>
      </c>
      <c r="C192" s="67">
        <v>6.4000949</v>
      </c>
      <c r="D192" s="67">
        <v>0.77778000000000003</v>
      </c>
      <c r="E192" s="66">
        <v>3</v>
      </c>
      <c r="F192" s="67">
        <v>0.85829661999999995</v>
      </c>
      <c r="G192" s="67">
        <v>3.9283977999999999</v>
      </c>
      <c r="H192" s="67">
        <v>30.44</v>
      </c>
    </row>
    <row r="193" spans="1:8" x14ac:dyDescent="0.35">
      <c r="B193">
        <v>2024</v>
      </c>
      <c r="C193" s="67">
        <v>5.3476651999999998</v>
      </c>
      <c r="D193" s="67">
        <v>0.77778000000000003</v>
      </c>
      <c r="E193" s="66">
        <v>3</v>
      </c>
      <c r="F193" s="67">
        <v>0.87024418999999997</v>
      </c>
      <c r="G193" s="67">
        <v>5.5408892999999999</v>
      </c>
      <c r="H193" s="67">
        <v>30.41</v>
      </c>
    </row>
    <row r="194" spans="1:8" x14ac:dyDescent="0.35">
      <c r="A194" t="s">
        <v>109</v>
      </c>
      <c r="B194">
        <v>2022</v>
      </c>
      <c r="C194" s="67">
        <v>3.2765287000000001</v>
      </c>
      <c r="D194" s="67">
        <v>0.72221999999999997</v>
      </c>
      <c r="E194" s="66">
        <v>3</v>
      </c>
      <c r="F194" s="67">
        <v>0.30898026000000001</v>
      </c>
      <c r="G194" s="67">
        <v>0.43681010999999997</v>
      </c>
      <c r="H194" s="67">
        <v>27.77</v>
      </c>
    </row>
    <row r="195" spans="1:8" x14ac:dyDescent="0.35">
      <c r="B195">
        <v>2023</v>
      </c>
      <c r="C195" s="67">
        <v>3.9971754000000002</v>
      </c>
      <c r="D195" s="67">
        <v>0.77778000000000003</v>
      </c>
      <c r="E195" s="66">
        <v>3</v>
      </c>
      <c r="F195" s="67">
        <v>0.20637158</v>
      </c>
      <c r="G195" s="67">
        <v>0.24979729000000001</v>
      </c>
      <c r="H195" s="67">
        <v>27.77</v>
      </c>
    </row>
    <row r="196" spans="1:8" x14ac:dyDescent="0.35">
      <c r="B196">
        <v>2024</v>
      </c>
      <c r="C196" s="67">
        <v>3.6225363000000002</v>
      </c>
      <c r="D196" s="67">
        <v>0.77778000000000003</v>
      </c>
      <c r="E196" s="66">
        <v>3</v>
      </c>
      <c r="F196" s="67">
        <v>0.20637158</v>
      </c>
      <c r="G196" s="67">
        <v>0.25497304999999998</v>
      </c>
      <c r="H196" s="67">
        <v>27.88</v>
      </c>
    </row>
    <row r="197" spans="1:8" x14ac:dyDescent="0.35">
      <c r="A197" t="s">
        <v>165</v>
      </c>
      <c r="B197">
        <v>2022</v>
      </c>
      <c r="C197" s="67">
        <v>0.78446011999999998</v>
      </c>
      <c r="D197" s="67">
        <v>0.66666999999999998</v>
      </c>
      <c r="E197" s="66">
        <v>3</v>
      </c>
      <c r="F197" s="67">
        <v>0.37947208999999998</v>
      </c>
      <c r="G197" s="67">
        <v>0.44697889000000002</v>
      </c>
      <c r="H197" s="67">
        <v>26.78</v>
      </c>
    </row>
    <row r="198" spans="1:8" x14ac:dyDescent="0.35">
      <c r="B198">
        <v>2023</v>
      </c>
      <c r="C198" s="67">
        <v>0.71463986999999995</v>
      </c>
      <c r="D198" s="67">
        <v>0.66666999999999998</v>
      </c>
      <c r="E198" s="66">
        <v>3</v>
      </c>
      <c r="F198" s="67">
        <v>0.41</v>
      </c>
      <c r="G198" s="67">
        <v>0.52459853999999995</v>
      </c>
      <c r="H198" s="67">
        <v>26.82</v>
      </c>
    </row>
    <row r="199" spans="1:8" x14ac:dyDescent="0.35">
      <c r="B199">
        <v>2024</v>
      </c>
      <c r="C199" s="67">
        <v>0.72666306999999997</v>
      </c>
      <c r="D199" s="67">
        <v>0.66666999999999998</v>
      </c>
      <c r="E199" s="66">
        <v>3</v>
      </c>
      <c r="F199" s="67">
        <v>0.31</v>
      </c>
      <c r="G199" s="67">
        <v>0.41384535</v>
      </c>
      <c r="H199" s="67">
        <v>26.78</v>
      </c>
    </row>
    <row r="201" spans="1:8" x14ac:dyDescent="0.35">
      <c r="C201" s="67">
        <f>MAX(C2:C199)</f>
        <v>6.4000949</v>
      </c>
      <c r="F201" s="67">
        <f>MAX(F2:F199)</f>
        <v>0.93156145999999995</v>
      </c>
    </row>
    <row r="203" spans="1:8" x14ac:dyDescent="0.35">
      <c r="F203" s="67">
        <f>MIN(F2:F199)</f>
        <v>0.20637158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A6820-B6A3-430F-9440-EA3FD5EBF8E2}">
  <dimension ref="B1:BL286"/>
  <sheetViews>
    <sheetView topLeftCell="AJ53" zoomScale="80" zoomScaleNormal="80" workbookViewId="0">
      <selection activeCell="AW59" sqref="AW59"/>
    </sheetView>
  </sheetViews>
  <sheetFormatPr defaultRowHeight="15.5" x14ac:dyDescent="0.35"/>
  <cols>
    <col min="1" max="1" width="8.7265625" style="1"/>
    <col min="2" max="2" width="11.6328125" style="1" customWidth="1"/>
    <col min="3" max="3" width="47.26953125" style="1" customWidth="1"/>
    <col min="4" max="19" width="8.7265625" style="1"/>
    <col min="20" max="20" width="9" style="1" bestFit="1" customWidth="1"/>
    <col min="21" max="21" width="37" style="1" bestFit="1" customWidth="1"/>
    <col min="22" max="33" width="7.90625" style="1" bestFit="1" customWidth="1"/>
    <col min="34" max="35" width="8.7265625" style="1"/>
    <col min="36" max="36" width="9" style="1" bestFit="1" customWidth="1"/>
    <col min="37" max="37" width="82.81640625" style="1" bestFit="1" customWidth="1"/>
    <col min="38" max="49" width="7.90625" style="1" bestFit="1" customWidth="1"/>
    <col min="50" max="50" width="8.7265625" style="1"/>
    <col min="51" max="51" width="9" style="1" bestFit="1" customWidth="1"/>
    <col min="52" max="52" width="59" style="1" bestFit="1" customWidth="1"/>
    <col min="53" max="64" width="7.90625" style="1" bestFit="1" customWidth="1"/>
    <col min="65" max="16384" width="8.7265625" style="1"/>
  </cols>
  <sheetData>
    <row r="1" spans="2:64" x14ac:dyDescent="0.35">
      <c r="B1" s="62" t="s">
        <v>0</v>
      </c>
      <c r="C1" s="10" t="s">
        <v>25</v>
      </c>
      <c r="D1" s="57" t="s">
        <v>3</v>
      </c>
      <c r="E1" s="58"/>
      <c r="F1" s="59"/>
      <c r="G1" s="57" t="s">
        <v>16</v>
      </c>
      <c r="H1" s="58"/>
      <c r="I1" s="59"/>
      <c r="J1" s="57" t="s">
        <v>17</v>
      </c>
      <c r="K1" s="58"/>
      <c r="L1" s="59"/>
      <c r="M1" s="57" t="s">
        <v>18</v>
      </c>
      <c r="N1" s="58"/>
      <c r="O1" s="59"/>
    </row>
    <row r="2" spans="2:64" x14ac:dyDescent="0.35">
      <c r="B2" s="63"/>
      <c r="C2" s="11" t="s">
        <v>26</v>
      </c>
      <c r="D2" s="14">
        <v>2022</v>
      </c>
      <c r="E2" s="14">
        <v>2023</v>
      </c>
      <c r="F2" s="14">
        <v>2024</v>
      </c>
      <c r="G2" s="14">
        <v>2022</v>
      </c>
      <c r="H2" s="14">
        <v>2023</v>
      </c>
      <c r="I2" s="14">
        <v>2024</v>
      </c>
      <c r="J2" s="14">
        <v>2022</v>
      </c>
      <c r="K2" s="14">
        <v>2023</v>
      </c>
      <c r="L2" s="14">
        <v>2024</v>
      </c>
      <c r="M2" s="14">
        <v>2022</v>
      </c>
      <c r="N2" s="14">
        <v>2023</v>
      </c>
      <c r="O2" s="14">
        <v>2024</v>
      </c>
      <c r="Q2" s="1" t="s">
        <v>139</v>
      </c>
    </row>
    <row r="3" spans="2:64" ht="77.5" x14ac:dyDescent="0.35">
      <c r="B3" s="12">
        <v>1</v>
      </c>
      <c r="C3" s="18" t="s">
        <v>49</v>
      </c>
      <c r="D3" s="12">
        <v>0</v>
      </c>
      <c r="E3" s="12">
        <v>0</v>
      </c>
      <c r="F3" s="12">
        <v>0</v>
      </c>
      <c r="G3" s="12">
        <v>1</v>
      </c>
      <c r="H3" s="12">
        <v>1</v>
      </c>
      <c r="I3" s="12">
        <v>1</v>
      </c>
      <c r="J3" s="12">
        <v>1</v>
      </c>
      <c r="K3" s="12">
        <v>0</v>
      </c>
      <c r="L3" s="12">
        <v>1</v>
      </c>
      <c r="M3" s="12">
        <v>1</v>
      </c>
      <c r="N3" s="12">
        <v>1</v>
      </c>
      <c r="O3" s="12">
        <v>1</v>
      </c>
      <c r="V3" s="64" t="s">
        <v>110</v>
      </c>
      <c r="W3" s="64"/>
      <c r="X3" s="64"/>
      <c r="Y3" s="64"/>
      <c r="Z3" s="64"/>
      <c r="AA3" s="64"/>
      <c r="AB3" s="64"/>
      <c r="AK3" s="52" t="s">
        <v>150</v>
      </c>
      <c r="AY3" s="60" t="s">
        <v>154</v>
      </c>
      <c r="AZ3" s="60"/>
      <c r="BA3" s="60"/>
      <c r="BB3" s="60"/>
    </row>
    <row r="4" spans="2:64" ht="46.5" x14ac:dyDescent="0.35">
      <c r="B4" s="12">
        <v>2</v>
      </c>
      <c r="C4" s="13" t="s">
        <v>34</v>
      </c>
      <c r="D4" s="25">
        <v>0</v>
      </c>
      <c r="E4" s="25">
        <v>0</v>
      </c>
      <c r="F4" s="25">
        <v>0</v>
      </c>
      <c r="G4" s="25">
        <v>1</v>
      </c>
      <c r="H4" s="25">
        <v>1</v>
      </c>
      <c r="I4" s="25">
        <v>1</v>
      </c>
      <c r="J4" s="25">
        <v>1</v>
      </c>
      <c r="K4" s="25">
        <v>1</v>
      </c>
      <c r="L4" s="25">
        <v>1</v>
      </c>
      <c r="M4" s="25">
        <v>0</v>
      </c>
      <c r="N4" s="25">
        <v>0</v>
      </c>
      <c r="O4" s="25">
        <v>1</v>
      </c>
      <c r="X4" s="50" t="s">
        <v>140</v>
      </c>
      <c r="AK4" s="50" t="s">
        <v>151</v>
      </c>
      <c r="AY4" s="61" t="s">
        <v>155</v>
      </c>
      <c r="AZ4" s="61"/>
      <c r="BA4" s="61"/>
      <c r="BB4" s="61"/>
    </row>
    <row r="5" spans="2:64" ht="30.5" x14ac:dyDescent="0.35">
      <c r="B5" s="12"/>
      <c r="C5" s="19" t="s">
        <v>27</v>
      </c>
      <c r="D5" s="20"/>
      <c r="E5" s="21"/>
      <c r="F5" s="21"/>
      <c r="G5" s="21"/>
      <c r="H5" s="21"/>
      <c r="I5" s="21"/>
      <c r="J5" s="21"/>
      <c r="K5" s="21"/>
      <c r="L5" s="21"/>
      <c r="M5" s="21"/>
      <c r="N5" s="21"/>
      <c r="O5" s="22"/>
      <c r="T5" s="35" t="s">
        <v>0</v>
      </c>
      <c r="U5" s="10" t="s">
        <v>25</v>
      </c>
      <c r="V5" s="57" t="s">
        <v>111</v>
      </c>
      <c r="W5" s="58"/>
      <c r="X5" s="59"/>
      <c r="Y5" s="57" t="s">
        <v>112</v>
      </c>
      <c r="Z5" s="58"/>
      <c r="AA5" s="59"/>
      <c r="AB5" s="57" t="s">
        <v>113</v>
      </c>
      <c r="AC5" s="58"/>
      <c r="AD5" s="59"/>
      <c r="AE5" s="57" t="s">
        <v>114</v>
      </c>
      <c r="AF5" s="58"/>
      <c r="AG5" s="59"/>
    </row>
    <row r="6" spans="2:64" ht="46.5" x14ac:dyDescent="0.35">
      <c r="B6" s="12">
        <v>3</v>
      </c>
      <c r="C6" s="13" t="s">
        <v>48</v>
      </c>
      <c r="D6" s="24">
        <v>0</v>
      </c>
      <c r="E6" s="24">
        <v>1</v>
      </c>
      <c r="F6" s="24">
        <v>1</v>
      </c>
      <c r="G6" s="24">
        <v>0</v>
      </c>
      <c r="H6" s="24">
        <v>0</v>
      </c>
      <c r="I6" s="24">
        <v>1</v>
      </c>
      <c r="J6" s="24">
        <v>0</v>
      </c>
      <c r="K6" s="24">
        <v>0</v>
      </c>
      <c r="L6" s="24">
        <v>0</v>
      </c>
      <c r="M6" s="24">
        <v>0</v>
      </c>
      <c r="N6" s="24">
        <v>0</v>
      </c>
      <c r="O6" s="24">
        <v>0</v>
      </c>
      <c r="T6" s="36"/>
      <c r="U6" s="11" t="s">
        <v>26</v>
      </c>
      <c r="V6" s="14">
        <v>2022</v>
      </c>
      <c r="W6" s="14">
        <v>2023</v>
      </c>
      <c r="X6" s="14">
        <v>2024</v>
      </c>
      <c r="Y6" s="14">
        <v>2022</v>
      </c>
      <c r="Z6" s="14">
        <v>2023</v>
      </c>
      <c r="AA6" s="14">
        <v>2024</v>
      </c>
      <c r="AB6" s="14">
        <v>2022</v>
      </c>
      <c r="AC6" s="14">
        <v>2023</v>
      </c>
      <c r="AD6" s="14">
        <v>2024</v>
      </c>
      <c r="AE6" s="14">
        <v>2022</v>
      </c>
      <c r="AF6" s="14">
        <v>2023</v>
      </c>
      <c r="AG6" s="14">
        <v>2024</v>
      </c>
      <c r="AJ6" s="35" t="s">
        <v>0</v>
      </c>
      <c r="AK6" s="10" t="s">
        <v>25</v>
      </c>
      <c r="AL6" s="57" t="s">
        <v>78</v>
      </c>
      <c r="AM6" s="58"/>
      <c r="AN6" s="59"/>
      <c r="AO6" s="57" t="s">
        <v>79</v>
      </c>
      <c r="AP6" s="58"/>
      <c r="AQ6" s="59"/>
      <c r="AR6" s="57" t="s">
        <v>80</v>
      </c>
      <c r="AS6" s="58"/>
      <c r="AT6" s="59"/>
      <c r="AU6" s="57" t="s">
        <v>81</v>
      </c>
      <c r="AV6" s="58"/>
      <c r="AW6" s="59"/>
      <c r="AY6" s="35" t="s">
        <v>0</v>
      </c>
      <c r="AZ6" s="10" t="s">
        <v>25</v>
      </c>
      <c r="BA6" s="57" t="s">
        <v>91</v>
      </c>
      <c r="BB6" s="58"/>
      <c r="BC6" s="59"/>
      <c r="BD6" s="57" t="s">
        <v>92</v>
      </c>
      <c r="BE6" s="58"/>
      <c r="BF6" s="59"/>
      <c r="BG6" s="57" t="s">
        <v>156</v>
      </c>
      <c r="BH6" s="58"/>
      <c r="BI6" s="59"/>
      <c r="BJ6" s="57" t="s">
        <v>94</v>
      </c>
      <c r="BK6" s="58"/>
      <c r="BL6" s="59"/>
    </row>
    <row r="7" spans="2:64" ht="28" customHeight="1" x14ac:dyDescent="0.35">
      <c r="B7" s="12">
        <v>4</v>
      </c>
      <c r="C7" s="13" t="s">
        <v>35</v>
      </c>
      <c r="D7" s="12">
        <v>1</v>
      </c>
      <c r="E7" s="12">
        <v>1</v>
      </c>
      <c r="F7" s="12">
        <v>1</v>
      </c>
      <c r="G7" s="12">
        <v>1</v>
      </c>
      <c r="H7" s="12">
        <v>0</v>
      </c>
      <c r="I7" s="12">
        <v>1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1</v>
      </c>
      <c r="T7" s="12">
        <v>1</v>
      </c>
      <c r="U7" s="18" t="s">
        <v>49</v>
      </c>
      <c r="V7" s="12">
        <v>0</v>
      </c>
      <c r="W7" s="12">
        <v>1</v>
      </c>
      <c r="X7" s="12">
        <v>1</v>
      </c>
      <c r="Y7" s="12">
        <v>1</v>
      </c>
      <c r="Z7" s="12">
        <v>0</v>
      </c>
      <c r="AA7" s="12">
        <v>0</v>
      </c>
      <c r="AB7" s="12">
        <v>1</v>
      </c>
      <c r="AC7" s="12">
        <v>1</v>
      </c>
      <c r="AD7" s="12">
        <v>1</v>
      </c>
      <c r="AE7" s="12">
        <v>1</v>
      </c>
      <c r="AF7" s="12">
        <v>1</v>
      </c>
      <c r="AG7" s="12">
        <v>1</v>
      </c>
      <c r="AJ7" s="36"/>
      <c r="AK7" s="11" t="s">
        <v>26</v>
      </c>
      <c r="AL7" s="14">
        <v>2022</v>
      </c>
      <c r="AM7" s="14">
        <v>2023</v>
      </c>
      <c r="AN7" s="14">
        <v>2024</v>
      </c>
      <c r="AO7" s="14">
        <v>2022</v>
      </c>
      <c r="AP7" s="14">
        <v>2023</v>
      </c>
      <c r="AQ7" s="14">
        <v>2024</v>
      </c>
      <c r="AR7" s="14">
        <v>2022</v>
      </c>
      <c r="AS7" s="14">
        <v>2023</v>
      </c>
      <c r="AT7" s="14">
        <v>2024</v>
      </c>
      <c r="AU7" s="14">
        <v>2022</v>
      </c>
      <c r="AV7" s="14">
        <v>2023</v>
      </c>
      <c r="AW7" s="14">
        <v>2024</v>
      </c>
      <c r="AY7" s="36"/>
      <c r="AZ7" s="11" t="s">
        <v>26</v>
      </c>
      <c r="BA7" s="14">
        <v>2022</v>
      </c>
      <c r="BB7" s="14">
        <v>2023</v>
      </c>
      <c r="BC7" s="14">
        <v>2024</v>
      </c>
      <c r="BD7" s="14">
        <v>2022</v>
      </c>
      <c r="BE7" s="14">
        <v>2023</v>
      </c>
      <c r="BF7" s="14">
        <v>2024</v>
      </c>
      <c r="BG7" s="14">
        <v>2022</v>
      </c>
      <c r="BH7" s="14">
        <v>2023</v>
      </c>
      <c r="BI7" s="14">
        <v>2024</v>
      </c>
      <c r="BJ7" s="14">
        <v>2022</v>
      </c>
      <c r="BK7" s="14">
        <v>2023</v>
      </c>
      <c r="BL7" s="14">
        <v>2024</v>
      </c>
    </row>
    <row r="8" spans="2:64" ht="46.5" x14ac:dyDescent="0.35">
      <c r="B8" s="12">
        <v>5</v>
      </c>
      <c r="C8" s="13" t="s">
        <v>36</v>
      </c>
      <c r="D8" s="12">
        <v>1</v>
      </c>
      <c r="E8" s="12">
        <v>1</v>
      </c>
      <c r="F8" s="12">
        <v>1</v>
      </c>
      <c r="G8" s="12">
        <v>1</v>
      </c>
      <c r="H8" s="12">
        <v>1</v>
      </c>
      <c r="I8" s="12">
        <v>1</v>
      </c>
      <c r="J8" s="12">
        <v>1</v>
      </c>
      <c r="K8" s="12">
        <v>1</v>
      </c>
      <c r="L8" s="12">
        <v>1</v>
      </c>
      <c r="M8" s="12">
        <v>1</v>
      </c>
      <c r="N8" s="12">
        <v>1</v>
      </c>
      <c r="O8" s="12">
        <v>1</v>
      </c>
      <c r="T8" s="12">
        <v>2</v>
      </c>
      <c r="U8" s="13" t="s">
        <v>34</v>
      </c>
      <c r="V8" s="25">
        <v>1</v>
      </c>
      <c r="W8" s="25">
        <v>1</v>
      </c>
      <c r="X8" s="25">
        <v>1</v>
      </c>
      <c r="Y8" s="25">
        <v>0</v>
      </c>
      <c r="Z8" s="25">
        <v>1</v>
      </c>
      <c r="AA8" s="25">
        <v>1</v>
      </c>
      <c r="AB8" s="25">
        <v>1</v>
      </c>
      <c r="AC8" s="25">
        <v>0</v>
      </c>
      <c r="AD8" s="25">
        <v>0</v>
      </c>
      <c r="AE8" s="25">
        <v>1</v>
      </c>
      <c r="AF8" s="25">
        <v>1</v>
      </c>
      <c r="AG8" s="25">
        <v>1</v>
      </c>
      <c r="AJ8" s="12">
        <v>1</v>
      </c>
      <c r="AK8" s="18" t="s">
        <v>49</v>
      </c>
      <c r="AL8" s="12">
        <v>1</v>
      </c>
      <c r="AM8" s="12">
        <v>1</v>
      </c>
      <c r="AN8" s="12">
        <v>1</v>
      </c>
      <c r="AO8" s="12">
        <v>1</v>
      </c>
      <c r="AP8" s="12">
        <v>1</v>
      </c>
      <c r="AQ8" s="12">
        <v>1</v>
      </c>
      <c r="AR8" s="12">
        <v>0</v>
      </c>
      <c r="AS8" s="12">
        <v>1</v>
      </c>
      <c r="AT8" s="12">
        <v>0</v>
      </c>
      <c r="AU8" s="12">
        <v>0</v>
      </c>
      <c r="AV8" s="12">
        <v>0</v>
      </c>
      <c r="AW8" s="12">
        <v>0</v>
      </c>
      <c r="AY8" s="12">
        <v>1</v>
      </c>
      <c r="AZ8" s="18" t="s">
        <v>49</v>
      </c>
      <c r="BA8" s="12">
        <v>1</v>
      </c>
      <c r="BB8" s="12">
        <v>1</v>
      </c>
      <c r="BC8" s="12">
        <v>1</v>
      </c>
      <c r="BD8" s="12">
        <v>1</v>
      </c>
      <c r="BE8" s="12">
        <v>1</v>
      </c>
      <c r="BF8" s="12">
        <v>0</v>
      </c>
      <c r="BG8" s="12">
        <v>0</v>
      </c>
      <c r="BH8" s="12">
        <v>0</v>
      </c>
      <c r="BI8" s="12">
        <v>1</v>
      </c>
      <c r="BJ8" s="12">
        <v>1</v>
      </c>
      <c r="BK8" s="12">
        <v>1</v>
      </c>
      <c r="BL8" s="12">
        <v>1</v>
      </c>
    </row>
    <row r="9" spans="2:64" ht="31" x14ac:dyDescent="0.35">
      <c r="B9" s="12">
        <v>6</v>
      </c>
      <c r="C9" s="13" t="s">
        <v>37</v>
      </c>
      <c r="D9" s="12">
        <v>1</v>
      </c>
      <c r="E9" s="12">
        <v>1</v>
      </c>
      <c r="F9" s="12">
        <v>1</v>
      </c>
      <c r="G9" s="12">
        <v>1</v>
      </c>
      <c r="H9" s="12">
        <v>1</v>
      </c>
      <c r="I9" s="12">
        <v>1</v>
      </c>
      <c r="J9" s="12">
        <v>1</v>
      </c>
      <c r="K9" s="12">
        <v>1</v>
      </c>
      <c r="L9" s="12">
        <v>1</v>
      </c>
      <c r="M9" s="12">
        <v>1</v>
      </c>
      <c r="N9" s="12">
        <v>1</v>
      </c>
      <c r="O9" s="12">
        <v>1</v>
      </c>
      <c r="T9" s="12"/>
      <c r="U9" s="19" t="s">
        <v>27</v>
      </c>
      <c r="V9" s="20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2"/>
      <c r="AJ9" s="12">
        <v>2</v>
      </c>
      <c r="AK9" s="13" t="s">
        <v>34</v>
      </c>
      <c r="AL9" s="25">
        <v>1</v>
      </c>
      <c r="AM9" s="25">
        <v>1</v>
      </c>
      <c r="AN9" s="25">
        <v>1</v>
      </c>
      <c r="AO9" s="25">
        <v>0</v>
      </c>
      <c r="AP9" s="25">
        <v>1</v>
      </c>
      <c r="AQ9" s="25">
        <v>1</v>
      </c>
      <c r="AR9" s="25">
        <v>0</v>
      </c>
      <c r="AS9" s="25">
        <v>0</v>
      </c>
      <c r="AT9" s="25">
        <v>0</v>
      </c>
      <c r="AU9" s="25">
        <v>0</v>
      </c>
      <c r="AV9" s="25">
        <v>0</v>
      </c>
      <c r="AW9" s="25">
        <v>0</v>
      </c>
      <c r="AY9" s="12">
        <v>2</v>
      </c>
      <c r="AZ9" s="13" t="s">
        <v>34</v>
      </c>
      <c r="BA9" s="25">
        <v>0</v>
      </c>
      <c r="BB9" s="25">
        <v>0</v>
      </c>
      <c r="BC9" s="25">
        <v>1</v>
      </c>
      <c r="BD9" s="25">
        <v>0</v>
      </c>
      <c r="BE9" s="25">
        <v>0</v>
      </c>
      <c r="BF9" s="25">
        <v>0</v>
      </c>
      <c r="BG9" s="25">
        <v>0</v>
      </c>
      <c r="BH9" s="25">
        <v>0</v>
      </c>
      <c r="BI9" s="25">
        <v>0</v>
      </c>
      <c r="BJ9" s="25">
        <v>0</v>
      </c>
      <c r="BK9" s="25">
        <v>0</v>
      </c>
      <c r="BL9" s="25">
        <v>0</v>
      </c>
    </row>
    <row r="10" spans="2:64" ht="22" customHeight="1" x14ac:dyDescent="0.35">
      <c r="B10" s="12">
        <v>7</v>
      </c>
      <c r="C10" s="13" t="s">
        <v>38</v>
      </c>
      <c r="D10" s="12">
        <v>1</v>
      </c>
      <c r="E10" s="12">
        <v>1</v>
      </c>
      <c r="F10" s="12">
        <v>1</v>
      </c>
      <c r="G10" s="12">
        <v>1</v>
      </c>
      <c r="H10" s="12">
        <v>1</v>
      </c>
      <c r="I10" s="12">
        <v>1</v>
      </c>
      <c r="J10" s="12">
        <v>1</v>
      </c>
      <c r="K10" s="12">
        <v>1</v>
      </c>
      <c r="L10" s="12">
        <v>1</v>
      </c>
      <c r="M10" s="12">
        <v>1</v>
      </c>
      <c r="N10" s="12">
        <v>1</v>
      </c>
      <c r="O10" s="12">
        <v>1</v>
      </c>
      <c r="T10" s="12">
        <v>3</v>
      </c>
      <c r="U10" s="13" t="s">
        <v>48</v>
      </c>
      <c r="V10" s="24">
        <v>0</v>
      </c>
      <c r="W10" s="24">
        <v>1</v>
      </c>
      <c r="X10" s="24">
        <v>1</v>
      </c>
      <c r="Y10" s="24">
        <v>0</v>
      </c>
      <c r="Z10" s="24">
        <v>0</v>
      </c>
      <c r="AA10" s="24">
        <v>0</v>
      </c>
      <c r="AB10" s="24">
        <v>1</v>
      </c>
      <c r="AC10" s="24">
        <v>1</v>
      </c>
      <c r="AD10" s="24">
        <v>1</v>
      </c>
      <c r="AE10" s="24">
        <v>1</v>
      </c>
      <c r="AF10" s="24">
        <v>1</v>
      </c>
      <c r="AG10" s="24">
        <v>1</v>
      </c>
      <c r="AJ10" s="12"/>
      <c r="AK10" s="19" t="s">
        <v>27</v>
      </c>
      <c r="AL10" s="20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2"/>
      <c r="AY10" s="12"/>
      <c r="AZ10" s="19" t="s">
        <v>27</v>
      </c>
      <c r="BA10" s="20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2"/>
    </row>
    <row r="11" spans="2:64" ht="41.5" customHeight="1" x14ac:dyDescent="0.35">
      <c r="B11" s="12">
        <v>8</v>
      </c>
      <c r="C11" s="13" t="s">
        <v>39</v>
      </c>
      <c r="D11" s="12">
        <v>1</v>
      </c>
      <c r="E11" s="12">
        <v>1</v>
      </c>
      <c r="F11" s="12">
        <v>0</v>
      </c>
      <c r="G11" s="12">
        <v>1</v>
      </c>
      <c r="H11" s="12">
        <v>1</v>
      </c>
      <c r="I11" s="12">
        <v>1</v>
      </c>
      <c r="J11" s="12">
        <v>1</v>
      </c>
      <c r="K11" s="12">
        <v>1</v>
      </c>
      <c r="L11" s="12">
        <v>1</v>
      </c>
      <c r="M11" s="12">
        <v>0</v>
      </c>
      <c r="N11" s="12">
        <v>0</v>
      </c>
      <c r="O11" s="12">
        <v>1</v>
      </c>
      <c r="T11" s="12">
        <v>4</v>
      </c>
      <c r="U11" s="13" t="s">
        <v>35</v>
      </c>
      <c r="V11" s="12">
        <v>1</v>
      </c>
      <c r="W11" s="12">
        <v>1</v>
      </c>
      <c r="X11" s="12">
        <v>1</v>
      </c>
      <c r="Y11" s="12">
        <v>1</v>
      </c>
      <c r="Z11" s="12">
        <v>1</v>
      </c>
      <c r="AA11" s="12">
        <v>1</v>
      </c>
      <c r="AB11" s="12">
        <v>0</v>
      </c>
      <c r="AC11" s="12">
        <v>1</v>
      </c>
      <c r="AD11" s="12">
        <v>1</v>
      </c>
      <c r="AE11" s="12">
        <v>0</v>
      </c>
      <c r="AF11" s="12">
        <v>1</v>
      </c>
      <c r="AG11" s="12">
        <v>1</v>
      </c>
      <c r="AJ11" s="12">
        <v>3</v>
      </c>
      <c r="AK11" s="13" t="s">
        <v>48</v>
      </c>
      <c r="AL11" s="24">
        <v>1</v>
      </c>
      <c r="AM11" s="24">
        <v>1</v>
      </c>
      <c r="AN11" s="24">
        <v>1</v>
      </c>
      <c r="AO11" s="24">
        <v>1</v>
      </c>
      <c r="AP11" s="24">
        <v>1</v>
      </c>
      <c r="AQ11" s="24">
        <v>1</v>
      </c>
      <c r="AR11" s="24">
        <v>0</v>
      </c>
      <c r="AS11" s="24">
        <v>0</v>
      </c>
      <c r="AT11" s="24">
        <v>0</v>
      </c>
      <c r="AU11" s="24">
        <v>0</v>
      </c>
      <c r="AV11" s="24">
        <v>0</v>
      </c>
      <c r="AW11" s="24">
        <v>0</v>
      </c>
      <c r="AY11" s="12">
        <v>3</v>
      </c>
      <c r="AZ11" s="13" t="s">
        <v>48</v>
      </c>
      <c r="BA11" s="24">
        <v>1</v>
      </c>
      <c r="BB11" s="24">
        <v>1</v>
      </c>
      <c r="BC11" s="24">
        <v>1</v>
      </c>
      <c r="BD11" s="24">
        <v>1</v>
      </c>
      <c r="BE11" s="24">
        <v>1</v>
      </c>
      <c r="BF11" s="24">
        <v>1</v>
      </c>
      <c r="BG11" s="24">
        <v>1</v>
      </c>
      <c r="BH11" s="24">
        <v>1</v>
      </c>
      <c r="BI11" s="24">
        <v>1</v>
      </c>
      <c r="BJ11" s="24">
        <v>1</v>
      </c>
      <c r="BK11" s="24">
        <v>1</v>
      </c>
      <c r="BL11" s="24">
        <v>1</v>
      </c>
    </row>
    <row r="12" spans="2:64" ht="31" x14ac:dyDescent="0.35">
      <c r="B12" s="12">
        <v>9</v>
      </c>
      <c r="C12" s="13" t="s">
        <v>40</v>
      </c>
      <c r="D12" s="25">
        <v>1</v>
      </c>
      <c r="E12" s="25">
        <v>1</v>
      </c>
      <c r="F12" s="25">
        <v>1</v>
      </c>
      <c r="G12" s="25">
        <v>1</v>
      </c>
      <c r="H12" s="25">
        <v>1</v>
      </c>
      <c r="I12" s="25">
        <v>1</v>
      </c>
      <c r="J12" s="25">
        <v>1</v>
      </c>
      <c r="K12" s="25">
        <v>1</v>
      </c>
      <c r="L12" s="25">
        <v>1</v>
      </c>
      <c r="M12" s="25">
        <v>1</v>
      </c>
      <c r="N12" s="25">
        <v>1</v>
      </c>
      <c r="O12" s="25">
        <v>1</v>
      </c>
      <c r="T12" s="12">
        <v>5</v>
      </c>
      <c r="U12" s="13" t="s">
        <v>36</v>
      </c>
      <c r="V12" s="12">
        <v>1</v>
      </c>
      <c r="W12" s="12">
        <v>1</v>
      </c>
      <c r="X12" s="12">
        <v>1</v>
      </c>
      <c r="Y12" s="12">
        <v>1</v>
      </c>
      <c r="Z12" s="12">
        <v>1</v>
      </c>
      <c r="AA12" s="12">
        <v>1</v>
      </c>
      <c r="AB12" s="12">
        <v>1</v>
      </c>
      <c r="AC12" s="12">
        <v>1</v>
      </c>
      <c r="AD12" s="12">
        <v>1</v>
      </c>
      <c r="AE12" s="12">
        <v>1</v>
      </c>
      <c r="AF12" s="12">
        <v>1</v>
      </c>
      <c r="AG12" s="12">
        <v>1</v>
      </c>
      <c r="AJ12" s="12">
        <v>4</v>
      </c>
      <c r="AK12" s="13" t="s">
        <v>35</v>
      </c>
      <c r="AL12" s="12">
        <v>1</v>
      </c>
      <c r="AM12" s="12">
        <v>1</v>
      </c>
      <c r="AN12" s="12">
        <v>1</v>
      </c>
      <c r="AO12" s="12">
        <v>0</v>
      </c>
      <c r="AP12" s="12">
        <v>0</v>
      </c>
      <c r="AQ12" s="12">
        <v>1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Y12" s="12">
        <v>4</v>
      </c>
      <c r="AZ12" s="13" t="s">
        <v>35</v>
      </c>
      <c r="BA12" s="12">
        <v>0</v>
      </c>
      <c r="BB12" s="12">
        <v>0</v>
      </c>
      <c r="BC12" s="12">
        <v>0</v>
      </c>
      <c r="BD12" s="12">
        <v>0</v>
      </c>
      <c r="BE12" s="12">
        <v>0</v>
      </c>
      <c r="BF12" s="12">
        <v>0</v>
      </c>
      <c r="BG12" s="12">
        <v>0</v>
      </c>
      <c r="BH12" s="12">
        <v>0</v>
      </c>
      <c r="BI12" s="12">
        <v>0</v>
      </c>
      <c r="BJ12" s="12">
        <v>0</v>
      </c>
      <c r="BK12" s="12">
        <v>0</v>
      </c>
      <c r="BL12" s="12">
        <v>0</v>
      </c>
    </row>
    <row r="13" spans="2:64" ht="31" x14ac:dyDescent="0.35">
      <c r="B13" s="12"/>
      <c r="C13" s="23" t="s">
        <v>28</v>
      </c>
      <c r="D13" s="20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2"/>
      <c r="T13" s="12">
        <v>6</v>
      </c>
      <c r="U13" s="13" t="s">
        <v>37</v>
      </c>
      <c r="V13" s="12">
        <v>1</v>
      </c>
      <c r="W13" s="12">
        <v>1</v>
      </c>
      <c r="X13" s="12">
        <v>1</v>
      </c>
      <c r="Y13" s="12">
        <v>1</v>
      </c>
      <c r="Z13" s="12">
        <v>1</v>
      </c>
      <c r="AA13" s="12">
        <v>1</v>
      </c>
      <c r="AB13" s="12">
        <v>1</v>
      </c>
      <c r="AC13" s="12">
        <v>1</v>
      </c>
      <c r="AD13" s="12">
        <v>1</v>
      </c>
      <c r="AE13" s="12">
        <v>1</v>
      </c>
      <c r="AF13" s="12">
        <v>1</v>
      </c>
      <c r="AG13" s="12">
        <v>1</v>
      </c>
      <c r="AJ13" s="12">
        <v>5</v>
      </c>
      <c r="AK13" s="13" t="s">
        <v>36</v>
      </c>
      <c r="AL13" s="12">
        <v>1</v>
      </c>
      <c r="AM13" s="12">
        <v>1</v>
      </c>
      <c r="AN13" s="12">
        <v>1</v>
      </c>
      <c r="AO13" s="12">
        <v>1</v>
      </c>
      <c r="AP13" s="12">
        <v>1</v>
      </c>
      <c r="AQ13" s="12">
        <v>1</v>
      </c>
      <c r="AR13" s="12">
        <v>1</v>
      </c>
      <c r="AS13" s="12">
        <v>1</v>
      </c>
      <c r="AT13" s="12">
        <v>1</v>
      </c>
      <c r="AU13" s="12">
        <v>1</v>
      </c>
      <c r="AV13" s="12">
        <v>1</v>
      </c>
      <c r="AW13" s="12">
        <v>1</v>
      </c>
      <c r="AY13" s="12">
        <v>5</v>
      </c>
      <c r="AZ13" s="13" t="s">
        <v>36</v>
      </c>
      <c r="BA13" s="12">
        <v>1</v>
      </c>
      <c r="BB13" s="12">
        <v>1</v>
      </c>
      <c r="BC13" s="12">
        <v>1</v>
      </c>
      <c r="BD13" s="12">
        <v>1</v>
      </c>
      <c r="BE13" s="12">
        <v>1</v>
      </c>
      <c r="BF13" s="12">
        <v>1</v>
      </c>
      <c r="BG13" s="12">
        <v>1</v>
      </c>
      <c r="BH13" s="12">
        <v>1</v>
      </c>
      <c r="BI13" s="12">
        <v>1</v>
      </c>
      <c r="BJ13" s="12">
        <v>1</v>
      </c>
      <c r="BK13" s="12">
        <v>1</v>
      </c>
      <c r="BL13" s="12">
        <v>1</v>
      </c>
    </row>
    <row r="14" spans="2:64" ht="27" customHeight="1" x14ac:dyDescent="0.35">
      <c r="B14" s="12">
        <v>10</v>
      </c>
      <c r="C14" s="13" t="s">
        <v>41</v>
      </c>
      <c r="D14" s="24">
        <v>1</v>
      </c>
      <c r="E14" s="24">
        <v>1</v>
      </c>
      <c r="F14" s="24">
        <v>1</v>
      </c>
      <c r="G14" s="24">
        <v>1</v>
      </c>
      <c r="H14" s="24">
        <v>1</v>
      </c>
      <c r="I14" s="24">
        <v>1</v>
      </c>
      <c r="J14" s="24">
        <v>1</v>
      </c>
      <c r="K14" s="24">
        <v>1</v>
      </c>
      <c r="L14" s="24">
        <v>1</v>
      </c>
      <c r="M14" s="24">
        <v>1</v>
      </c>
      <c r="N14" s="24">
        <v>1</v>
      </c>
      <c r="O14" s="24">
        <v>1</v>
      </c>
      <c r="T14" s="12">
        <v>7</v>
      </c>
      <c r="U14" s="13" t="s">
        <v>38</v>
      </c>
      <c r="V14" s="12">
        <v>1</v>
      </c>
      <c r="W14" s="12">
        <v>1</v>
      </c>
      <c r="X14" s="12">
        <v>1</v>
      </c>
      <c r="Y14" s="12">
        <v>1</v>
      </c>
      <c r="Z14" s="12">
        <v>1</v>
      </c>
      <c r="AA14" s="12">
        <v>1</v>
      </c>
      <c r="AB14" s="12">
        <v>1</v>
      </c>
      <c r="AC14" s="12">
        <v>1</v>
      </c>
      <c r="AD14" s="12">
        <v>1</v>
      </c>
      <c r="AE14" s="12">
        <v>1</v>
      </c>
      <c r="AF14" s="12">
        <v>1</v>
      </c>
      <c r="AG14" s="12">
        <v>1</v>
      </c>
      <c r="AJ14" s="12">
        <v>6</v>
      </c>
      <c r="AK14" s="13" t="s">
        <v>37</v>
      </c>
      <c r="AL14" s="12">
        <v>1</v>
      </c>
      <c r="AM14" s="12">
        <v>1</v>
      </c>
      <c r="AN14" s="12">
        <v>1</v>
      </c>
      <c r="AO14" s="12">
        <v>1</v>
      </c>
      <c r="AP14" s="12">
        <v>1</v>
      </c>
      <c r="AQ14" s="12">
        <v>1</v>
      </c>
      <c r="AR14" s="12">
        <v>1</v>
      </c>
      <c r="AS14" s="12">
        <v>1</v>
      </c>
      <c r="AT14" s="12">
        <v>1</v>
      </c>
      <c r="AU14" s="12">
        <v>1</v>
      </c>
      <c r="AV14" s="12">
        <v>1</v>
      </c>
      <c r="AW14" s="12">
        <v>1</v>
      </c>
      <c r="AY14" s="12">
        <v>6</v>
      </c>
      <c r="AZ14" s="13" t="s">
        <v>37</v>
      </c>
      <c r="BA14" s="12">
        <v>1</v>
      </c>
      <c r="BB14" s="12">
        <v>1</v>
      </c>
      <c r="BC14" s="12">
        <v>1</v>
      </c>
      <c r="BD14" s="12">
        <v>1</v>
      </c>
      <c r="BE14" s="12">
        <v>1</v>
      </c>
      <c r="BF14" s="12">
        <v>1</v>
      </c>
      <c r="BG14" s="12">
        <v>1</v>
      </c>
      <c r="BH14" s="12">
        <v>1</v>
      </c>
      <c r="BI14" s="12">
        <v>1</v>
      </c>
      <c r="BJ14" s="12">
        <v>1</v>
      </c>
      <c r="BK14" s="12">
        <v>1</v>
      </c>
      <c r="BL14" s="12">
        <v>1</v>
      </c>
    </row>
    <row r="15" spans="2:64" ht="31" x14ac:dyDescent="0.35">
      <c r="B15" s="12">
        <v>11</v>
      </c>
      <c r="C15" s="13" t="s">
        <v>50</v>
      </c>
      <c r="D15" s="12">
        <v>1</v>
      </c>
      <c r="E15" s="12">
        <v>1</v>
      </c>
      <c r="F15" s="12">
        <v>1</v>
      </c>
      <c r="G15" s="12">
        <v>1</v>
      </c>
      <c r="H15" s="12">
        <v>0</v>
      </c>
      <c r="I15" s="12">
        <v>1</v>
      </c>
      <c r="J15" s="12">
        <v>0</v>
      </c>
      <c r="K15" s="12">
        <v>1</v>
      </c>
      <c r="L15" s="12">
        <v>1</v>
      </c>
      <c r="M15" s="12">
        <v>0</v>
      </c>
      <c r="N15" s="12">
        <v>1</v>
      </c>
      <c r="O15" s="12">
        <v>1</v>
      </c>
      <c r="T15" s="12">
        <v>8</v>
      </c>
      <c r="U15" s="13" t="s">
        <v>39</v>
      </c>
      <c r="V15" s="12">
        <v>1</v>
      </c>
      <c r="W15" s="12">
        <v>1</v>
      </c>
      <c r="X15" s="12">
        <v>1</v>
      </c>
      <c r="Y15" s="12">
        <v>1</v>
      </c>
      <c r="Z15" s="12">
        <v>1</v>
      </c>
      <c r="AA15" s="12">
        <v>1</v>
      </c>
      <c r="AB15" s="12">
        <v>1</v>
      </c>
      <c r="AC15" s="12">
        <v>1</v>
      </c>
      <c r="AD15" s="12">
        <v>1</v>
      </c>
      <c r="AE15" s="12">
        <v>1</v>
      </c>
      <c r="AF15" s="12">
        <v>1</v>
      </c>
      <c r="AG15" s="12">
        <v>1</v>
      </c>
      <c r="AJ15" s="12">
        <v>7</v>
      </c>
      <c r="AK15" s="13" t="s">
        <v>38</v>
      </c>
      <c r="AL15" s="12">
        <v>1</v>
      </c>
      <c r="AM15" s="12">
        <v>1</v>
      </c>
      <c r="AN15" s="12">
        <v>1</v>
      </c>
      <c r="AO15" s="12">
        <v>1</v>
      </c>
      <c r="AP15" s="12">
        <v>1</v>
      </c>
      <c r="AQ15" s="12">
        <v>1</v>
      </c>
      <c r="AR15" s="12">
        <v>1</v>
      </c>
      <c r="AS15" s="12">
        <v>1</v>
      </c>
      <c r="AT15" s="12">
        <v>1</v>
      </c>
      <c r="AU15" s="12">
        <v>1</v>
      </c>
      <c r="AV15" s="12">
        <v>1</v>
      </c>
      <c r="AW15" s="12">
        <v>1</v>
      </c>
      <c r="AY15" s="12">
        <v>7</v>
      </c>
      <c r="AZ15" s="13" t="s">
        <v>38</v>
      </c>
      <c r="BA15" s="12">
        <v>1</v>
      </c>
      <c r="BB15" s="12">
        <v>1</v>
      </c>
      <c r="BC15" s="12">
        <v>1</v>
      </c>
      <c r="BD15" s="12">
        <v>1</v>
      </c>
      <c r="BE15" s="12">
        <v>1</v>
      </c>
      <c r="BF15" s="12">
        <v>1</v>
      </c>
      <c r="BG15" s="12">
        <v>1</v>
      </c>
      <c r="BH15" s="12">
        <v>1</v>
      </c>
      <c r="BI15" s="12">
        <v>1</v>
      </c>
      <c r="BJ15" s="12">
        <v>1</v>
      </c>
      <c r="BK15" s="12">
        <v>1</v>
      </c>
      <c r="BL15" s="12">
        <v>1</v>
      </c>
    </row>
    <row r="16" spans="2:64" ht="31" x14ac:dyDescent="0.35">
      <c r="B16" s="12">
        <v>12</v>
      </c>
      <c r="C16" s="13" t="s">
        <v>42</v>
      </c>
      <c r="D16" s="25">
        <v>1</v>
      </c>
      <c r="E16" s="25">
        <v>1</v>
      </c>
      <c r="F16" s="25">
        <v>1</v>
      </c>
      <c r="G16" s="25">
        <v>1</v>
      </c>
      <c r="H16" s="25">
        <v>1</v>
      </c>
      <c r="I16" s="25">
        <v>1</v>
      </c>
      <c r="J16" s="25">
        <v>1</v>
      </c>
      <c r="K16" s="25">
        <v>1</v>
      </c>
      <c r="L16" s="25">
        <v>1</v>
      </c>
      <c r="M16" s="25">
        <v>1</v>
      </c>
      <c r="N16" s="25">
        <v>1</v>
      </c>
      <c r="O16" s="25">
        <v>1</v>
      </c>
      <c r="T16" s="12">
        <v>9</v>
      </c>
      <c r="U16" s="13" t="s">
        <v>40</v>
      </c>
      <c r="V16" s="25">
        <v>1</v>
      </c>
      <c r="W16" s="25">
        <v>1</v>
      </c>
      <c r="X16" s="25">
        <v>1</v>
      </c>
      <c r="Y16" s="25">
        <v>1</v>
      </c>
      <c r="Z16" s="25">
        <v>1</v>
      </c>
      <c r="AA16" s="25">
        <v>1</v>
      </c>
      <c r="AB16" s="25">
        <v>1</v>
      </c>
      <c r="AC16" s="25">
        <v>1</v>
      </c>
      <c r="AD16" s="25">
        <v>1</v>
      </c>
      <c r="AE16" s="25">
        <v>1</v>
      </c>
      <c r="AF16" s="25">
        <v>1</v>
      </c>
      <c r="AG16" s="25">
        <v>1</v>
      </c>
      <c r="AJ16" s="12">
        <v>8</v>
      </c>
      <c r="AK16" s="13" t="s">
        <v>39</v>
      </c>
      <c r="AL16" s="12">
        <v>1</v>
      </c>
      <c r="AM16" s="12">
        <v>1</v>
      </c>
      <c r="AN16" s="12">
        <v>1</v>
      </c>
      <c r="AO16" s="12">
        <v>1</v>
      </c>
      <c r="AP16" s="12">
        <v>1</v>
      </c>
      <c r="AQ16" s="12">
        <v>1</v>
      </c>
      <c r="AR16" s="12">
        <v>1</v>
      </c>
      <c r="AS16" s="12">
        <v>1</v>
      </c>
      <c r="AT16" s="12">
        <v>1</v>
      </c>
      <c r="AU16" s="12">
        <v>1</v>
      </c>
      <c r="AV16" s="12">
        <v>1</v>
      </c>
      <c r="AW16" s="12">
        <v>1</v>
      </c>
      <c r="AY16" s="12">
        <v>8</v>
      </c>
      <c r="AZ16" s="13" t="s">
        <v>39</v>
      </c>
      <c r="BA16" s="12">
        <v>1</v>
      </c>
      <c r="BB16" s="12">
        <v>1</v>
      </c>
      <c r="BC16" s="12">
        <v>1</v>
      </c>
      <c r="BD16" s="12">
        <v>1</v>
      </c>
      <c r="BE16" s="12">
        <v>1</v>
      </c>
      <c r="BF16" s="12">
        <v>1</v>
      </c>
      <c r="BG16" s="12">
        <v>1</v>
      </c>
      <c r="BH16" s="12">
        <v>1</v>
      </c>
      <c r="BI16" s="12">
        <v>1</v>
      </c>
      <c r="BJ16" s="12">
        <v>1</v>
      </c>
      <c r="BK16" s="12">
        <v>1</v>
      </c>
      <c r="BL16" s="12">
        <v>1</v>
      </c>
    </row>
    <row r="17" spans="2:64" ht="31" x14ac:dyDescent="0.35">
      <c r="B17" s="12"/>
      <c r="C17" s="19" t="s">
        <v>29</v>
      </c>
      <c r="D17" s="20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2"/>
      <c r="T17" s="12"/>
      <c r="U17" s="23" t="s">
        <v>28</v>
      </c>
      <c r="V17" s="20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2"/>
      <c r="AJ17" s="12">
        <v>9</v>
      </c>
      <c r="AK17" s="13" t="s">
        <v>40</v>
      </c>
      <c r="AL17" s="25">
        <v>1</v>
      </c>
      <c r="AM17" s="25">
        <v>1</v>
      </c>
      <c r="AN17" s="25">
        <v>1</v>
      </c>
      <c r="AO17" s="25">
        <v>1</v>
      </c>
      <c r="AP17" s="25">
        <v>1</v>
      </c>
      <c r="AQ17" s="25">
        <v>1</v>
      </c>
      <c r="AR17" s="25">
        <v>1</v>
      </c>
      <c r="AS17" s="25">
        <v>1</v>
      </c>
      <c r="AT17" s="25">
        <v>1</v>
      </c>
      <c r="AU17" s="25">
        <v>1</v>
      </c>
      <c r="AV17" s="25">
        <v>1</v>
      </c>
      <c r="AW17" s="25">
        <v>1</v>
      </c>
      <c r="AY17" s="12">
        <v>9</v>
      </c>
      <c r="AZ17" s="13" t="s">
        <v>40</v>
      </c>
      <c r="BA17" s="25">
        <v>1</v>
      </c>
      <c r="BB17" s="25">
        <v>1</v>
      </c>
      <c r="BC17" s="25">
        <v>1</v>
      </c>
      <c r="BD17" s="25">
        <v>1</v>
      </c>
      <c r="BE17" s="25">
        <v>1</v>
      </c>
      <c r="BF17" s="25">
        <v>1</v>
      </c>
      <c r="BG17" s="25">
        <v>1</v>
      </c>
      <c r="BH17" s="25">
        <v>1</v>
      </c>
      <c r="BI17" s="25">
        <v>1</v>
      </c>
      <c r="BJ17" s="25">
        <v>1</v>
      </c>
      <c r="BK17" s="25">
        <v>1</v>
      </c>
      <c r="BL17" s="25">
        <v>1</v>
      </c>
    </row>
    <row r="18" spans="2:64" ht="16.5" customHeight="1" x14ac:dyDescent="0.35">
      <c r="B18" s="12">
        <v>13</v>
      </c>
      <c r="C18" s="13" t="s">
        <v>43</v>
      </c>
      <c r="D18" s="24">
        <v>1</v>
      </c>
      <c r="E18" s="24">
        <v>1</v>
      </c>
      <c r="F18" s="24">
        <v>1</v>
      </c>
      <c r="G18" s="24">
        <v>1</v>
      </c>
      <c r="H18" s="24">
        <v>1</v>
      </c>
      <c r="I18" s="24">
        <v>1</v>
      </c>
      <c r="J18" s="24">
        <v>1</v>
      </c>
      <c r="K18" s="24">
        <v>1</v>
      </c>
      <c r="L18" s="24">
        <v>1</v>
      </c>
      <c r="M18" s="24">
        <v>1</v>
      </c>
      <c r="N18" s="24">
        <v>1</v>
      </c>
      <c r="O18" s="24">
        <v>1</v>
      </c>
      <c r="T18" s="12">
        <v>10</v>
      </c>
      <c r="U18" s="13" t="s">
        <v>41</v>
      </c>
      <c r="V18" s="24">
        <v>1</v>
      </c>
      <c r="W18" s="24">
        <v>1</v>
      </c>
      <c r="X18" s="24">
        <v>1</v>
      </c>
      <c r="Y18" s="24">
        <v>1</v>
      </c>
      <c r="Z18" s="24">
        <v>1</v>
      </c>
      <c r="AA18" s="24">
        <v>1</v>
      </c>
      <c r="AB18" s="24">
        <v>1</v>
      </c>
      <c r="AC18" s="24">
        <v>1</v>
      </c>
      <c r="AD18" s="24">
        <v>1</v>
      </c>
      <c r="AE18" s="24">
        <v>1</v>
      </c>
      <c r="AF18" s="24">
        <v>1</v>
      </c>
      <c r="AG18" s="24">
        <v>1</v>
      </c>
      <c r="AJ18" s="12"/>
      <c r="AK18" s="23" t="s">
        <v>28</v>
      </c>
      <c r="AL18" s="20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2"/>
      <c r="AY18" s="12"/>
      <c r="AZ18" s="23" t="s">
        <v>28</v>
      </c>
      <c r="BA18" s="20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2"/>
    </row>
    <row r="19" spans="2:64" ht="46.5" x14ac:dyDescent="0.35">
      <c r="B19" s="12">
        <v>14</v>
      </c>
      <c r="C19" s="13" t="s">
        <v>44</v>
      </c>
      <c r="D19" s="12">
        <v>1</v>
      </c>
      <c r="E19" s="12">
        <v>1</v>
      </c>
      <c r="F19" s="12">
        <v>1</v>
      </c>
      <c r="G19" s="12">
        <v>1</v>
      </c>
      <c r="H19" s="12">
        <v>1</v>
      </c>
      <c r="I19" s="12">
        <v>1</v>
      </c>
      <c r="J19" s="12">
        <v>1</v>
      </c>
      <c r="K19" s="12">
        <v>1</v>
      </c>
      <c r="L19" s="12">
        <v>1</v>
      </c>
      <c r="M19" s="12">
        <v>1</v>
      </c>
      <c r="N19" s="12">
        <v>1</v>
      </c>
      <c r="O19" s="12">
        <v>1</v>
      </c>
      <c r="T19" s="12">
        <v>11</v>
      </c>
      <c r="U19" s="13" t="s">
        <v>50</v>
      </c>
      <c r="V19" s="12">
        <v>1</v>
      </c>
      <c r="W19" s="12">
        <v>1</v>
      </c>
      <c r="X19" s="12">
        <v>1</v>
      </c>
      <c r="Y19" s="12">
        <v>1</v>
      </c>
      <c r="Z19" s="12">
        <v>1</v>
      </c>
      <c r="AA19" s="12">
        <v>1</v>
      </c>
      <c r="AB19" s="12">
        <v>0</v>
      </c>
      <c r="AC19" s="12">
        <v>1</v>
      </c>
      <c r="AD19" s="12">
        <v>1</v>
      </c>
      <c r="AE19" s="12">
        <v>1</v>
      </c>
      <c r="AF19" s="12">
        <v>1</v>
      </c>
      <c r="AG19" s="12">
        <v>1</v>
      </c>
      <c r="AJ19" s="12">
        <v>10</v>
      </c>
      <c r="AK19" s="13" t="s">
        <v>41</v>
      </c>
      <c r="AL19" s="24">
        <v>1</v>
      </c>
      <c r="AM19" s="24">
        <v>1</v>
      </c>
      <c r="AN19" s="24">
        <v>1</v>
      </c>
      <c r="AO19" s="24">
        <v>1</v>
      </c>
      <c r="AP19" s="24">
        <v>1</v>
      </c>
      <c r="AQ19" s="24">
        <v>1</v>
      </c>
      <c r="AR19" s="24">
        <v>1</v>
      </c>
      <c r="AS19" s="24">
        <v>1</v>
      </c>
      <c r="AT19" s="24">
        <v>1</v>
      </c>
      <c r="AU19" s="24">
        <v>1</v>
      </c>
      <c r="AV19" s="24">
        <v>1</v>
      </c>
      <c r="AW19" s="24">
        <v>1</v>
      </c>
      <c r="AY19" s="12">
        <v>10</v>
      </c>
      <c r="AZ19" s="13" t="s">
        <v>41</v>
      </c>
      <c r="BA19" s="24">
        <v>1</v>
      </c>
      <c r="BB19" s="24">
        <v>1</v>
      </c>
      <c r="BC19" s="24">
        <v>1</v>
      </c>
      <c r="BD19" s="24">
        <v>1</v>
      </c>
      <c r="BE19" s="24">
        <v>1</v>
      </c>
      <c r="BF19" s="24">
        <v>1</v>
      </c>
      <c r="BG19" s="24">
        <v>1</v>
      </c>
      <c r="BH19" s="24">
        <v>1</v>
      </c>
      <c r="BI19" s="24">
        <v>1</v>
      </c>
      <c r="BJ19" s="24">
        <v>1</v>
      </c>
      <c r="BK19" s="24">
        <v>1</v>
      </c>
      <c r="BL19" s="24">
        <v>1</v>
      </c>
    </row>
    <row r="20" spans="2:64" ht="46.5" x14ac:dyDescent="0.35">
      <c r="B20" s="12">
        <v>15</v>
      </c>
      <c r="C20" s="13" t="s">
        <v>46</v>
      </c>
      <c r="D20" s="12">
        <v>1</v>
      </c>
      <c r="E20" s="12">
        <v>1</v>
      </c>
      <c r="F20" s="12">
        <v>1</v>
      </c>
      <c r="G20" s="12">
        <v>1</v>
      </c>
      <c r="H20" s="12">
        <v>1</v>
      </c>
      <c r="I20" s="12">
        <v>1</v>
      </c>
      <c r="J20" s="12">
        <v>1</v>
      </c>
      <c r="K20" s="12">
        <v>1</v>
      </c>
      <c r="L20" s="12">
        <v>1</v>
      </c>
      <c r="M20" s="12">
        <v>1</v>
      </c>
      <c r="N20" s="12">
        <v>1</v>
      </c>
      <c r="O20" s="12">
        <v>1</v>
      </c>
      <c r="T20" s="12">
        <v>12</v>
      </c>
      <c r="U20" s="13" t="s">
        <v>42</v>
      </c>
      <c r="V20" s="25">
        <v>1</v>
      </c>
      <c r="W20" s="25">
        <v>1</v>
      </c>
      <c r="X20" s="25">
        <v>1</v>
      </c>
      <c r="Y20" s="25">
        <v>1</v>
      </c>
      <c r="Z20" s="25">
        <v>1</v>
      </c>
      <c r="AA20" s="25">
        <v>1</v>
      </c>
      <c r="AB20" s="25">
        <v>1</v>
      </c>
      <c r="AC20" s="25">
        <v>1</v>
      </c>
      <c r="AD20" s="25">
        <v>1</v>
      </c>
      <c r="AE20" s="25">
        <v>1</v>
      </c>
      <c r="AF20" s="25">
        <v>1</v>
      </c>
      <c r="AG20" s="25">
        <v>1</v>
      </c>
      <c r="AJ20" s="12">
        <v>11</v>
      </c>
      <c r="AK20" s="13" t="s">
        <v>50</v>
      </c>
      <c r="AL20" s="12">
        <v>1</v>
      </c>
      <c r="AM20" s="12">
        <v>1</v>
      </c>
      <c r="AN20" s="12">
        <v>1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Y20" s="12">
        <v>11</v>
      </c>
      <c r="AZ20" s="13" t="s">
        <v>50</v>
      </c>
      <c r="BA20" s="12">
        <v>0</v>
      </c>
      <c r="BB20" s="12">
        <v>0</v>
      </c>
      <c r="BC20" s="12">
        <v>0</v>
      </c>
      <c r="BD20" s="12">
        <v>0</v>
      </c>
      <c r="BE20" s="12">
        <v>0</v>
      </c>
      <c r="BF20" s="12">
        <v>0</v>
      </c>
      <c r="BG20" s="12">
        <v>0</v>
      </c>
      <c r="BH20" s="12">
        <v>0</v>
      </c>
      <c r="BI20" s="12">
        <v>0</v>
      </c>
      <c r="BJ20" s="12">
        <v>0</v>
      </c>
      <c r="BK20" s="12">
        <v>0</v>
      </c>
      <c r="BL20" s="12">
        <v>0</v>
      </c>
    </row>
    <row r="21" spans="2:64" ht="46.5" x14ac:dyDescent="0.35">
      <c r="B21" s="12">
        <v>16</v>
      </c>
      <c r="C21" s="13" t="s">
        <v>45</v>
      </c>
      <c r="D21" s="25">
        <v>0</v>
      </c>
      <c r="E21" s="25">
        <v>0</v>
      </c>
      <c r="F21" s="25">
        <v>0</v>
      </c>
      <c r="G21" s="25">
        <v>0</v>
      </c>
      <c r="H21" s="25">
        <v>0</v>
      </c>
      <c r="I21" s="25">
        <v>0</v>
      </c>
      <c r="J21" s="25">
        <v>0</v>
      </c>
      <c r="K21" s="25">
        <v>0</v>
      </c>
      <c r="L21" s="25">
        <v>0</v>
      </c>
      <c r="M21" s="25">
        <v>0</v>
      </c>
      <c r="N21" s="25">
        <v>0</v>
      </c>
      <c r="O21" s="25">
        <v>0</v>
      </c>
      <c r="T21" s="12"/>
      <c r="U21" s="19" t="s">
        <v>29</v>
      </c>
      <c r="V21" s="20"/>
      <c r="W21" s="21"/>
      <c r="X21" s="21"/>
      <c r="Y21" s="21"/>
      <c r="Z21" s="21"/>
      <c r="AA21" s="21"/>
      <c r="AB21" s="21"/>
      <c r="AC21" s="21" t="s">
        <v>141</v>
      </c>
      <c r="AD21" s="21"/>
      <c r="AE21" s="21"/>
      <c r="AF21" s="21"/>
      <c r="AG21" s="22"/>
      <c r="AJ21" s="12">
        <v>12</v>
      </c>
      <c r="AK21" s="13" t="s">
        <v>42</v>
      </c>
      <c r="AL21" s="25">
        <v>1</v>
      </c>
      <c r="AM21" s="25">
        <v>1</v>
      </c>
      <c r="AN21" s="25">
        <v>1</v>
      </c>
      <c r="AO21" s="25">
        <v>1</v>
      </c>
      <c r="AP21" s="25">
        <v>1</v>
      </c>
      <c r="AQ21" s="25">
        <v>1</v>
      </c>
      <c r="AR21" s="25">
        <v>1</v>
      </c>
      <c r="AS21" s="25">
        <v>1</v>
      </c>
      <c r="AT21" s="25">
        <v>1</v>
      </c>
      <c r="AU21" s="25">
        <v>1</v>
      </c>
      <c r="AV21" s="25">
        <v>1</v>
      </c>
      <c r="AW21" s="25">
        <v>1</v>
      </c>
      <c r="AY21" s="12">
        <v>12</v>
      </c>
      <c r="AZ21" s="13" t="s">
        <v>42</v>
      </c>
      <c r="BA21" s="25">
        <v>1</v>
      </c>
      <c r="BB21" s="25">
        <v>1</v>
      </c>
      <c r="BC21" s="25">
        <v>1</v>
      </c>
      <c r="BD21" s="25">
        <v>1</v>
      </c>
      <c r="BE21" s="25">
        <v>1</v>
      </c>
      <c r="BF21" s="25">
        <v>1</v>
      </c>
      <c r="BG21" s="25">
        <v>1</v>
      </c>
      <c r="BH21" s="25">
        <v>1</v>
      </c>
      <c r="BI21" s="25">
        <v>1</v>
      </c>
      <c r="BJ21" s="25">
        <v>1</v>
      </c>
      <c r="BK21" s="25">
        <v>1</v>
      </c>
      <c r="BL21" s="25">
        <v>1</v>
      </c>
    </row>
    <row r="22" spans="2:64" ht="31" x14ac:dyDescent="0.35">
      <c r="B22" s="12"/>
      <c r="C22" s="23" t="s">
        <v>30</v>
      </c>
      <c r="D22" s="20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2"/>
      <c r="T22" s="12">
        <v>13</v>
      </c>
      <c r="U22" s="13" t="s">
        <v>43</v>
      </c>
      <c r="V22" s="24">
        <v>1</v>
      </c>
      <c r="W22" s="24">
        <v>1</v>
      </c>
      <c r="X22" s="24">
        <v>1</v>
      </c>
      <c r="Y22" s="24">
        <v>1</v>
      </c>
      <c r="Z22" s="24">
        <v>1</v>
      </c>
      <c r="AA22" s="24">
        <v>1</v>
      </c>
      <c r="AB22" s="24">
        <v>1</v>
      </c>
      <c r="AC22" s="24">
        <v>1</v>
      </c>
      <c r="AD22" s="24">
        <v>1</v>
      </c>
      <c r="AE22" s="24">
        <v>1</v>
      </c>
      <c r="AF22" s="24">
        <v>1</v>
      </c>
      <c r="AG22" s="24">
        <v>1</v>
      </c>
      <c r="AJ22" s="12"/>
      <c r="AK22" s="19" t="s">
        <v>29</v>
      </c>
      <c r="AL22" s="20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2"/>
      <c r="AY22" s="12"/>
      <c r="AZ22" s="19" t="s">
        <v>29</v>
      </c>
      <c r="BA22" s="20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2"/>
    </row>
    <row r="23" spans="2:64" ht="27" customHeight="1" x14ac:dyDescent="0.35">
      <c r="B23" s="12">
        <v>17</v>
      </c>
      <c r="C23" s="13" t="s">
        <v>47</v>
      </c>
      <c r="D23" s="24">
        <v>0</v>
      </c>
      <c r="E23" s="24">
        <v>0</v>
      </c>
      <c r="F23" s="24">
        <v>0</v>
      </c>
      <c r="G23" s="24">
        <v>1</v>
      </c>
      <c r="H23" s="24">
        <v>0</v>
      </c>
      <c r="I23" s="24">
        <v>0</v>
      </c>
      <c r="J23" s="24">
        <v>0</v>
      </c>
      <c r="K23" s="24">
        <v>0</v>
      </c>
      <c r="L23" s="24">
        <v>0</v>
      </c>
      <c r="M23" s="24">
        <v>0</v>
      </c>
      <c r="N23" s="24">
        <v>0</v>
      </c>
      <c r="O23" s="24">
        <v>1</v>
      </c>
      <c r="T23" s="12">
        <v>14</v>
      </c>
      <c r="U23" s="13" t="s">
        <v>44</v>
      </c>
      <c r="V23" s="12">
        <v>1</v>
      </c>
      <c r="W23" s="12">
        <v>1</v>
      </c>
      <c r="X23" s="12">
        <v>1</v>
      </c>
      <c r="Y23" s="12">
        <v>1</v>
      </c>
      <c r="Z23" s="12">
        <v>1</v>
      </c>
      <c r="AA23" s="12">
        <v>1</v>
      </c>
      <c r="AB23" s="12">
        <v>1</v>
      </c>
      <c r="AC23" s="12">
        <v>1</v>
      </c>
      <c r="AD23" s="12">
        <v>1</v>
      </c>
      <c r="AE23" s="12">
        <v>1</v>
      </c>
      <c r="AF23" s="12">
        <v>1</v>
      </c>
      <c r="AG23" s="12">
        <v>1</v>
      </c>
      <c r="AJ23" s="12">
        <v>13</v>
      </c>
      <c r="AK23" s="13" t="s">
        <v>43</v>
      </c>
      <c r="AL23" s="24">
        <v>1</v>
      </c>
      <c r="AM23" s="24">
        <v>1</v>
      </c>
      <c r="AN23" s="24">
        <v>1</v>
      </c>
      <c r="AO23" s="24">
        <v>1</v>
      </c>
      <c r="AP23" s="24">
        <v>1</v>
      </c>
      <c r="AQ23" s="24">
        <v>1</v>
      </c>
      <c r="AR23" s="24">
        <v>1</v>
      </c>
      <c r="AS23" s="24">
        <v>1</v>
      </c>
      <c r="AT23" s="24">
        <v>1</v>
      </c>
      <c r="AU23" s="24">
        <v>1</v>
      </c>
      <c r="AV23" s="24">
        <v>1</v>
      </c>
      <c r="AW23" s="24">
        <v>1</v>
      </c>
      <c r="AY23" s="12">
        <v>13</v>
      </c>
      <c r="AZ23" s="13" t="s">
        <v>43</v>
      </c>
      <c r="BA23" s="24">
        <v>1</v>
      </c>
      <c r="BB23" s="24">
        <v>1</v>
      </c>
      <c r="BC23" s="24">
        <v>1</v>
      </c>
      <c r="BD23" s="24">
        <v>1</v>
      </c>
      <c r="BE23" s="24">
        <v>1</v>
      </c>
      <c r="BF23" s="24">
        <v>1</v>
      </c>
      <c r="BG23" s="24">
        <v>1</v>
      </c>
      <c r="BH23" s="24">
        <v>1</v>
      </c>
      <c r="BI23" s="24">
        <v>1</v>
      </c>
      <c r="BJ23" s="24">
        <v>1</v>
      </c>
      <c r="BK23" s="24">
        <v>1</v>
      </c>
      <c r="BL23" s="24">
        <v>1</v>
      </c>
    </row>
    <row r="24" spans="2:64" ht="34.5" customHeight="1" x14ac:dyDescent="0.35">
      <c r="B24" s="12">
        <v>18</v>
      </c>
      <c r="C24" s="13" t="s">
        <v>33</v>
      </c>
      <c r="D24" s="25">
        <v>0</v>
      </c>
      <c r="E24" s="25">
        <v>0</v>
      </c>
      <c r="F24" s="25">
        <v>0</v>
      </c>
      <c r="G24" s="25">
        <v>0</v>
      </c>
      <c r="H24" s="25">
        <v>0</v>
      </c>
      <c r="I24" s="25">
        <v>0</v>
      </c>
      <c r="J24" s="25">
        <v>0</v>
      </c>
      <c r="K24" s="25">
        <v>0</v>
      </c>
      <c r="L24" s="25">
        <v>0</v>
      </c>
      <c r="M24" s="25">
        <v>0</v>
      </c>
      <c r="N24" s="25">
        <v>0</v>
      </c>
      <c r="O24" s="25">
        <v>0</v>
      </c>
      <c r="T24" s="12">
        <v>15</v>
      </c>
      <c r="U24" s="13" t="s">
        <v>46</v>
      </c>
      <c r="V24" s="12">
        <v>1</v>
      </c>
      <c r="W24" s="12">
        <v>1</v>
      </c>
      <c r="X24" s="12">
        <v>1</v>
      </c>
      <c r="Y24" s="12">
        <v>1</v>
      </c>
      <c r="Z24" s="12">
        <v>1</v>
      </c>
      <c r="AA24" s="12">
        <v>1</v>
      </c>
      <c r="AB24" s="12">
        <v>1</v>
      </c>
      <c r="AC24" s="12">
        <v>1</v>
      </c>
      <c r="AD24" s="12">
        <v>1</v>
      </c>
      <c r="AE24" s="12">
        <v>1</v>
      </c>
      <c r="AF24" s="12">
        <v>1</v>
      </c>
      <c r="AG24" s="12">
        <v>1</v>
      </c>
      <c r="AJ24" s="12">
        <v>14</v>
      </c>
      <c r="AK24" s="13" t="s">
        <v>44</v>
      </c>
      <c r="AL24" s="12">
        <v>1</v>
      </c>
      <c r="AM24" s="12">
        <v>1</v>
      </c>
      <c r="AN24" s="12">
        <v>1</v>
      </c>
      <c r="AO24" s="12">
        <v>1</v>
      </c>
      <c r="AP24" s="12">
        <v>1</v>
      </c>
      <c r="AQ24" s="12">
        <v>1</v>
      </c>
      <c r="AR24" s="12">
        <v>1</v>
      </c>
      <c r="AS24" s="12">
        <v>1</v>
      </c>
      <c r="AT24" s="12">
        <v>1</v>
      </c>
      <c r="AU24" s="12">
        <v>0</v>
      </c>
      <c r="AV24" s="12">
        <v>1</v>
      </c>
      <c r="AW24" s="12">
        <v>1</v>
      </c>
      <c r="AY24" s="12">
        <v>14</v>
      </c>
      <c r="AZ24" s="13" t="s">
        <v>44</v>
      </c>
      <c r="BA24" s="12">
        <v>1</v>
      </c>
      <c r="BB24" s="12">
        <v>1</v>
      </c>
      <c r="BC24" s="12">
        <v>1</v>
      </c>
      <c r="BD24" s="12">
        <v>1</v>
      </c>
      <c r="BE24" s="12">
        <v>1</v>
      </c>
      <c r="BF24" s="12">
        <v>1</v>
      </c>
      <c r="BG24" s="12">
        <v>1</v>
      </c>
      <c r="BH24" s="12">
        <v>1</v>
      </c>
      <c r="BI24" s="12">
        <v>1</v>
      </c>
      <c r="BJ24" s="12">
        <v>1</v>
      </c>
      <c r="BK24" s="12">
        <v>1</v>
      </c>
      <c r="BL24" s="12">
        <v>1</v>
      </c>
    </row>
    <row r="25" spans="2:64" ht="29" customHeight="1" x14ac:dyDescent="0.35">
      <c r="B25" s="15"/>
      <c r="C25" s="23" t="s">
        <v>31</v>
      </c>
      <c r="D25" s="17">
        <f t="shared" ref="D25:O25" si="0">D3+D4+D6+D7+D8+D9+D10+D11+D12+D14+D15+D16+D18+D19+D20+D21+D23+D24</f>
        <v>12</v>
      </c>
      <c r="E25" s="17">
        <f t="shared" si="0"/>
        <v>13</v>
      </c>
      <c r="F25" s="17">
        <f t="shared" si="0"/>
        <v>12</v>
      </c>
      <c r="G25" s="17">
        <f t="shared" si="0"/>
        <v>15</v>
      </c>
      <c r="H25" s="17">
        <f t="shared" si="0"/>
        <v>12</v>
      </c>
      <c r="I25" s="17">
        <f t="shared" si="0"/>
        <v>15</v>
      </c>
      <c r="J25" s="17">
        <f t="shared" si="0"/>
        <v>12</v>
      </c>
      <c r="K25" s="17">
        <f t="shared" si="0"/>
        <v>12</v>
      </c>
      <c r="L25" s="17">
        <f t="shared" si="0"/>
        <v>13</v>
      </c>
      <c r="M25" s="17">
        <f t="shared" si="0"/>
        <v>10</v>
      </c>
      <c r="N25" s="17">
        <f t="shared" si="0"/>
        <v>11</v>
      </c>
      <c r="O25" s="17">
        <f t="shared" si="0"/>
        <v>15</v>
      </c>
      <c r="T25" s="12">
        <v>16</v>
      </c>
      <c r="U25" s="13" t="s">
        <v>45</v>
      </c>
      <c r="V25" s="25">
        <v>0</v>
      </c>
      <c r="W25" s="25">
        <v>0</v>
      </c>
      <c r="X25" s="25">
        <v>0</v>
      </c>
      <c r="Y25" s="25">
        <v>0</v>
      </c>
      <c r="Z25" s="25">
        <v>0</v>
      </c>
      <c r="AA25" s="25">
        <v>0</v>
      </c>
      <c r="AB25" s="25">
        <v>0</v>
      </c>
      <c r="AC25" s="25">
        <v>0</v>
      </c>
      <c r="AD25" s="25">
        <v>0</v>
      </c>
      <c r="AE25" s="25">
        <v>0</v>
      </c>
      <c r="AF25" s="25">
        <v>0</v>
      </c>
      <c r="AG25" s="25">
        <v>0</v>
      </c>
      <c r="AJ25" s="12">
        <v>15</v>
      </c>
      <c r="AK25" s="13" t="s">
        <v>46</v>
      </c>
      <c r="AL25" s="12">
        <v>1</v>
      </c>
      <c r="AM25" s="12">
        <v>1</v>
      </c>
      <c r="AN25" s="12">
        <v>1</v>
      </c>
      <c r="AO25" s="12">
        <v>1</v>
      </c>
      <c r="AP25" s="12">
        <v>1</v>
      </c>
      <c r="AQ25" s="12">
        <v>1</v>
      </c>
      <c r="AR25" s="12">
        <v>1</v>
      </c>
      <c r="AS25" s="12">
        <v>1</v>
      </c>
      <c r="AT25" s="12">
        <v>1</v>
      </c>
      <c r="AU25" s="12">
        <v>0</v>
      </c>
      <c r="AV25" s="12">
        <v>0</v>
      </c>
      <c r="AW25" s="12">
        <v>0</v>
      </c>
      <c r="AY25" s="12">
        <v>15</v>
      </c>
      <c r="AZ25" s="13" t="s">
        <v>46</v>
      </c>
      <c r="BA25" s="12">
        <v>1</v>
      </c>
      <c r="BB25" s="12">
        <v>1</v>
      </c>
      <c r="BC25" s="12">
        <v>1</v>
      </c>
      <c r="BD25" s="12">
        <v>1</v>
      </c>
      <c r="BE25" s="12">
        <v>1</v>
      </c>
      <c r="BF25" s="12">
        <v>1</v>
      </c>
      <c r="BG25" s="12">
        <v>1</v>
      </c>
      <c r="BH25" s="12">
        <v>1</v>
      </c>
      <c r="BI25" s="12">
        <v>1</v>
      </c>
      <c r="BJ25" s="12">
        <v>1</v>
      </c>
      <c r="BK25" s="12">
        <v>1</v>
      </c>
      <c r="BL25" s="12">
        <v>1</v>
      </c>
    </row>
    <row r="26" spans="2:64" ht="33.5" customHeight="1" x14ac:dyDescent="0.35">
      <c r="B26" s="16" t="s">
        <v>32</v>
      </c>
      <c r="C26" s="17"/>
      <c r="D26" s="30">
        <f t="shared" ref="D26:L26" si="1">D25/18</f>
        <v>0.66666666666666663</v>
      </c>
      <c r="E26" s="30">
        <f t="shared" si="1"/>
        <v>0.72222222222222221</v>
      </c>
      <c r="F26" s="30">
        <f t="shared" si="1"/>
        <v>0.66666666666666663</v>
      </c>
      <c r="G26" s="30">
        <f t="shared" si="1"/>
        <v>0.83333333333333337</v>
      </c>
      <c r="H26" s="30">
        <f t="shared" si="1"/>
        <v>0.66666666666666663</v>
      </c>
      <c r="I26" s="30">
        <f t="shared" si="1"/>
        <v>0.83333333333333337</v>
      </c>
      <c r="J26" s="30">
        <f t="shared" si="1"/>
        <v>0.66666666666666663</v>
      </c>
      <c r="K26" s="30">
        <f t="shared" si="1"/>
        <v>0.66666666666666663</v>
      </c>
      <c r="L26" s="30">
        <f t="shared" si="1"/>
        <v>0.72222222222222221</v>
      </c>
      <c r="M26" s="30">
        <f t="shared" ref="M26:O26" si="2">M25/18</f>
        <v>0.55555555555555558</v>
      </c>
      <c r="N26" s="30">
        <f t="shared" si="2"/>
        <v>0.61111111111111116</v>
      </c>
      <c r="O26" s="30">
        <f t="shared" si="2"/>
        <v>0.83333333333333337</v>
      </c>
      <c r="T26" s="12"/>
      <c r="U26" s="23" t="s">
        <v>30</v>
      </c>
      <c r="V26" s="20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2"/>
      <c r="AJ26" s="12">
        <v>16</v>
      </c>
      <c r="AK26" s="13" t="s">
        <v>45</v>
      </c>
      <c r="AL26" s="25">
        <v>0</v>
      </c>
      <c r="AM26" s="25">
        <v>0</v>
      </c>
      <c r="AN26" s="25">
        <v>0</v>
      </c>
      <c r="AO26" s="25">
        <v>0</v>
      </c>
      <c r="AP26" s="25">
        <v>0</v>
      </c>
      <c r="AQ26" s="25">
        <v>0</v>
      </c>
      <c r="AR26" s="25">
        <v>0</v>
      </c>
      <c r="AS26" s="25">
        <v>0</v>
      </c>
      <c r="AT26" s="25">
        <v>0</v>
      </c>
      <c r="AU26" s="25">
        <v>0</v>
      </c>
      <c r="AV26" s="25">
        <v>0</v>
      </c>
      <c r="AW26" s="25">
        <v>0</v>
      </c>
      <c r="AY26" s="12">
        <v>16</v>
      </c>
      <c r="AZ26" s="13" t="s">
        <v>45</v>
      </c>
      <c r="BA26" s="25">
        <v>0</v>
      </c>
      <c r="BB26" s="25">
        <v>0</v>
      </c>
      <c r="BC26" s="25">
        <v>0</v>
      </c>
      <c r="BD26" s="25">
        <v>0</v>
      </c>
      <c r="BE26" s="25">
        <v>0</v>
      </c>
      <c r="BF26" s="25">
        <v>0</v>
      </c>
      <c r="BG26" s="25">
        <v>0</v>
      </c>
      <c r="BH26" s="25">
        <v>0</v>
      </c>
      <c r="BI26" s="25">
        <v>0</v>
      </c>
      <c r="BJ26" s="25">
        <v>0</v>
      </c>
      <c r="BK26" s="25">
        <v>0</v>
      </c>
      <c r="BL26" s="25">
        <v>0</v>
      </c>
    </row>
    <row r="27" spans="2:64" ht="34" customHeight="1" x14ac:dyDescent="0.35">
      <c r="T27" s="12">
        <v>17</v>
      </c>
      <c r="U27" s="13" t="s">
        <v>47</v>
      </c>
      <c r="V27" s="24">
        <v>0</v>
      </c>
      <c r="W27" s="24">
        <v>0</v>
      </c>
      <c r="X27" s="24">
        <v>0</v>
      </c>
      <c r="Y27" s="24">
        <v>0</v>
      </c>
      <c r="Z27" s="24">
        <v>0</v>
      </c>
      <c r="AA27" s="24">
        <v>0</v>
      </c>
      <c r="AB27" s="24">
        <v>0</v>
      </c>
      <c r="AC27" s="24">
        <v>0</v>
      </c>
      <c r="AD27" s="24">
        <v>0</v>
      </c>
      <c r="AE27" s="24">
        <v>0</v>
      </c>
      <c r="AF27" s="24">
        <v>0</v>
      </c>
      <c r="AG27" s="24">
        <v>0</v>
      </c>
      <c r="AJ27" s="12"/>
      <c r="AK27" s="23" t="s">
        <v>30</v>
      </c>
      <c r="AL27" s="20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2"/>
      <c r="AY27" s="12"/>
      <c r="AZ27" s="23" t="s">
        <v>30</v>
      </c>
      <c r="BA27" s="20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2"/>
    </row>
    <row r="28" spans="2:64" ht="52" customHeight="1" x14ac:dyDescent="0.35">
      <c r="B28" s="62" t="s">
        <v>0</v>
      </c>
      <c r="C28" s="10" t="s">
        <v>25</v>
      </c>
      <c r="D28" s="57" t="s">
        <v>19</v>
      </c>
      <c r="E28" s="58"/>
      <c r="F28" s="59"/>
      <c r="G28" s="57" t="s">
        <v>20</v>
      </c>
      <c r="H28" s="58"/>
      <c r="I28" s="59"/>
      <c r="J28" s="57" t="s">
        <v>22</v>
      </c>
      <c r="K28" s="58"/>
      <c r="L28" s="59"/>
      <c r="M28" s="57" t="s">
        <v>23</v>
      </c>
      <c r="N28" s="58"/>
      <c r="O28" s="59"/>
      <c r="T28" s="12">
        <v>18</v>
      </c>
      <c r="U28" s="13" t="s">
        <v>33</v>
      </c>
      <c r="V28" s="25">
        <v>0</v>
      </c>
      <c r="W28" s="25">
        <v>0</v>
      </c>
      <c r="X28" s="25">
        <v>0</v>
      </c>
      <c r="Y28" s="25">
        <v>0</v>
      </c>
      <c r="Z28" s="25">
        <v>0</v>
      </c>
      <c r="AA28" s="25">
        <v>0</v>
      </c>
      <c r="AB28" s="25">
        <v>0</v>
      </c>
      <c r="AC28" s="25">
        <v>0</v>
      </c>
      <c r="AD28" s="25">
        <v>0</v>
      </c>
      <c r="AE28" s="25">
        <v>0</v>
      </c>
      <c r="AF28" s="25">
        <v>0</v>
      </c>
      <c r="AG28" s="25">
        <v>0</v>
      </c>
      <c r="AJ28" s="12">
        <v>17</v>
      </c>
      <c r="AK28" s="13" t="s">
        <v>47</v>
      </c>
      <c r="AL28" s="24">
        <v>0</v>
      </c>
      <c r="AM28" s="24">
        <v>0</v>
      </c>
      <c r="AN28" s="24">
        <v>0</v>
      </c>
      <c r="AO28" s="24">
        <v>0</v>
      </c>
      <c r="AP28" s="24">
        <v>0</v>
      </c>
      <c r="AQ28" s="24">
        <v>0</v>
      </c>
      <c r="AR28" s="24">
        <v>0</v>
      </c>
      <c r="AS28" s="24">
        <v>0</v>
      </c>
      <c r="AT28" s="24">
        <v>0</v>
      </c>
      <c r="AU28" s="24">
        <v>0</v>
      </c>
      <c r="AV28" s="24">
        <v>0</v>
      </c>
      <c r="AW28" s="24">
        <v>0</v>
      </c>
      <c r="AY28" s="12">
        <v>17</v>
      </c>
      <c r="AZ28" s="13" t="s">
        <v>47</v>
      </c>
      <c r="BA28" s="24">
        <v>0</v>
      </c>
      <c r="BB28" s="24">
        <v>0</v>
      </c>
      <c r="BC28" s="24">
        <v>0</v>
      </c>
      <c r="BD28" s="24">
        <v>0</v>
      </c>
      <c r="BE28" s="24">
        <v>0</v>
      </c>
      <c r="BF28" s="24">
        <v>0</v>
      </c>
      <c r="BG28" s="24">
        <v>0</v>
      </c>
      <c r="BH28" s="24">
        <v>0</v>
      </c>
      <c r="BI28" s="24">
        <v>0</v>
      </c>
      <c r="BJ28" s="24">
        <v>0</v>
      </c>
      <c r="BK28" s="24">
        <v>0</v>
      </c>
      <c r="BL28" s="24">
        <v>0</v>
      </c>
    </row>
    <row r="29" spans="2:64" ht="46.5" x14ac:dyDescent="0.35">
      <c r="B29" s="63"/>
      <c r="C29" s="11" t="s">
        <v>26</v>
      </c>
      <c r="D29" s="14">
        <v>2022</v>
      </c>
      <c r="E29" s="14">
        <v>2023</v>
      </c>
      <c r="F29" s="14">
        <v>2024</v>
      </c>
      <c r="G29" s="14">
        <v>2022</v>
      </c>
      <c r="H29" s="14">
        <v>2023</v>
      </c>
      <c r="I29" s="14">
        <v>2024</v>
      </c>
      <c r="J29" s="14">
        <v>2022</v>
      </c>
      <c r="K29" s="14">
        <v>2023</v>
      </c>
      <c r="L29" s="14">
        <v>2024</v>
      </c>
      <c r="M29" s="14">
        <v>2022</v>
      </c>
      <c r="N29" s="14">
        <v>2023</v>
      </c>
      <c r="O29" s="14">
        <v>2024</v>
      </c>
      <c r="T29" s="15"/>
      <c r="U29" s="23" t="s">
        <v>31</v>
      </c>
      <c r="V29" s="17">
        <f t="shared" ref="V29:AF29" si="3">V7+V8+V10+V11+V12+V13+V14+V15+V16+V18+V19+V20+V22+V23+V24+V25+V27+V28</f>
        <v>13</v>
      </c>
      <c r="W29" s="17">
        <f t="shared" si="3"/>
        <v>15</v>
      </c>
      <c r="X29" s="17">
        <f t="shared" si="3"/>
        <v>15</v>
      </c>
      <c r="Y29" s="17">
        <f t="shared" si="3"/>
        <v>13</v>
      </c>
      <c r="Z29" s="17">
        <f t="shared" si="3"/>
        <v>13</v>
      </c>
      <c r="AA29" s="17">
        <f t="shared" si="3"/>
        <v>13</v>
      </c>
      <c r="AB29" s="17">
        <f t="shared" si="3"/>
        <v>13</v>
      </c>
      <c r="AC29" s="17">
        <f t="shared" si="3"/>
        <v>14</v>
      </c>
      <c r="AD29" s="17">
        <f t="shared" si="3"/>
        <v>14</v>
      </c>
      <c r="AE29" s="17">
        <f t="shared" si="3"/>
        <v>14</v>
      </c>
      <c r="AF29" s="17">
        <f t="shared" si="3"/>
        <v>15</v>
      </c>
      <c r="AG29" s="17">
        <f t="shared" ref="AG29" si="4">AG7+AG8+AG10+AG11+AG12+AG13+AG14+AG15+AG16+AG18+AG19+AG20+AG22+AG23+AG24+AG25+AG27+AG28</f>
        <v>15</v>
      </c>
      <c r="AJ29" s="12">
        <v>18</v>
      </c>
      <c r="AK29" s="13" t="s">
        <v>33</v>
      </c>
      <c r="AL29" s="25">
        <v>0</v>
      </c>
      <c r="AM29" s="25">
        <v>0</v>
      </c>
      <c r="AN29" s="25">
        <v>0</v>
      </c>
      <c r="AO29" s="25">
        <v>0</v>
      </c>
      <c r="AP29" s="25">
        <v>0</v>
      </c>
      <c r="AQ29" s="25">
        <v>0</v>
      </c>
      <c r="AR29" s="25">
        <v>0</v>
      </c>
      <c r="AS29" s="25">
        <v>0</v>
      </c>
      <c r="AT29" s="25">
        <v>0</v>
      </c>
      <c r="AU29" s="25">
        <v>0</v>
      </c>
      <c r="AV29" s="25">
        <v>0</v>
      </c>
      <c r="AW29" s="25">
        <v>0</v>
      </c>
      <c r="AY29" s="12">
        <v>18</v>
      </c>
      <c r="AZ29" s="13" t="s">
        <v>33</v>
      </c>
      <c r="BA29" s="25">
        <v>0</v>
      </c>
      <c r="BB29" s="25">
        <v>0</v>
      </c>
      <c r="BC29" s="25">
        <v>0</v>
      </c>
      <c r="BD29" s="25">
        <v>0</v>
      </c>
      <c r="BE29" s="25">
        <v>0</v>
      </c>
      <c r="BF29" s="25">
        <v>0</v>
      </c>
      <c r="BG29" s="25">
        <v>0</v>
      </c>
      <c r="BH29" s="25">
        <v>0</v>
      </c>
      <c r="BI29" s="25">
        <v>0</v>
      </c>
      <c r="BJ29" s="25">
        <v>0</v>
      </c>
      <c r="BK29" s="25">
        <v>0</v>
      </c>
      <c r="BL29" s="25">
        <v>0</v>
      </c>
    </row>
    <row r="30" spans="2:64" ht="44.5" customHeight="1" x14ac:dyDescent="0.35">
      <c r="B30" s="12">
        <v>1</v>
      </c>
      <c r="C30" s="18" t="s">
        <v>49</v>
      </c>
      <c r="D30" s="12">
        <v>1</v>
      </c>
      <c r="E30" s="12">
        <v>1</v>
      </c>
      <c r="F30" s="12">
        <v>1</v>
      </c>
      <c r="G30" s="12">
        <v>0</v>
      </c>
      <c r="H30" s="12">
        <v>0</v>
      </c>
      <c r="I30" s="12">
        <v>1</v>
      </c>
      <c r="J30" s="12">
        <v>1</v>
      </c>
      <c r="K30" s="12">
        <v>0</v>
      </c>
      <c r="L30" s="12">
        <v>0</v>
      </c>
      <c r="M30" s="12">
        <v>1</v>
      </c>
      <c r="N30" s="12">
        <v>1</v>
      </c>
      <c r="O30" s="12">
        <v>1</v>
      </c>
      <c r="T30" s="16" t="s">
        <v>32</v>
      </c>
      <c r="U30" s="17"/>
      <c r="V30" s="30">
        <f t="shared" ref="V30:AF30" si="5">V29/18</f>
        <v>0.72222222222222221</v>
      </c>
      <c r="W30" s="30">
        <f t="shared" si="5"/>
        <v>0.83333333333333337</v>
      </c>
      <c r="X30" s="30">
        <f t="shared" si="5"/>
        <v>0.83333333333333337</v>
      </c>
      <c r="Y30" s="30">
        <f t="shared" si="5"/>
        <v>0.72222222222222221</v>
      </c>
      <c r="Z30" s="30">
        <f t="shared" si="5"/>
        <v>0.72222222222222221</v>
      </c>
      <c r="AA30" s="30">
        <f t="shared" si="5"/>
        <v>0.72222222222222221</v>
      </c>
      <c r="AB30" s="30">
        <f t="shared" si="5"/>
        <v>0.72222222222222221</v>
      </c>
      <c r="AC30" s="30">
        <f t="shared" si="5"/>
        <v>0.77777777777777779</v>
      </c>
      <c r="AD30" s="30">
        <f t="shared" si="5"/>
        <v>0.77777777777777779</v>
      </c>
      <c r="AE30" s="30">
        <f t="shared" si="5"/>
        <v>0.77777777777777779</v>
      </c>
      <c r="AF30" s="30">
        <f t="shared" si="5"/>
        <v>0.83333333333333337</v>
      </c>
      <c r="AG30" s="30">
        <f t="shared" ref="AG30" si="6">AG29/18</f>
        <v>0.83333333333333337</v>
      </c>
      <c r="AJ30" s="15"/>
      <c r="AK30" s="37" t="s">
        <v>31</v>
      </c>
      <c r="AL30" s="17">
        <f t="shared" ref="AL30:AV30" si="7">AL8+AL9+AL11+AL12+AL13+AL14+AL15+AL16+AL17+AL19+AL20+AL21+AL23+AL24+AL25+AL26+AL28+AL29</f>
        <v>15</v>
      </c>
      <c r="AM30" s="17">
        <f t="shared" si="7"/>
        <v>15</v>
      </c>
      <c r="AN30" s="17">
        <f t="shared" si="7"/>
        <v>15</v>
      </c>
      <c r="AO30" s="17">
        <f t="shared" si="7"/>
        <v>12</v>
      </c>
      <c r="AP30" s="17">
        <f t="shared" si="7"/>
        <v>13</v>
      </c>
      <c r="AQ30" s="17">
        <f t="shared" si="7"/>
        <v>14</v>
      </c>
      <c r="AR30" s="17">
        <f t="shared" si="7"/>
        <v>10</v>
      </c>
      <c r="AS30" s="17">
        <f t="shared" si="7"/>
        <v>11</v>
      </c>
      <c r="AT30" s="17">
        <f t="shared" si="7"/>
        <v>10</v>
      </c>
      <c r="AU30" s="17">
        <f t="shared" si="7"/>
        <v>8</v>
      </c>
      <c r="AV30" s="17">
        <f t="shared" si="7"/>
        <v>9</v>
      </c>
      <c r="AW30" s="17">
        <f t="shared" ref="AW30" si="8">AW8+AW9+AW11+AW12+AW13+AW14+AW15+AW16+AW17+AW19+AW20+AW21+AW23+AW24+AW25+AW26+AW28+AW29</f>
        <v>9</v>
      </c>
      <c r="AY30" s="15"/>
      <c r="AZ30" s="37" t="s">
        <v>31</v>
      </c>
      <c r="BA30" s="17">
        <f t="shared" ref="BA30" si="9">BA8+BA9+BA11+BA12+BA13+BA14+BA15+BA16+BA17+BA19+BA20+BA21+BA23+BA24+BA25+BA26+BA28+BA29</f>
        <v>12</v>
      </c>
      <c r="BB30" s="17">
        <f t="shared" ref="BB30" si="10">BB8+BB9+BB11+BB12+BB13+BB14+BB15+BB16+BB17+BB19+BB20+BB21+BB23+BB24+BB25+BB26+BB28+BB29</f>
        <v>12</v>
      </c>
      <c r="BC30" s="17">
        <f t="shared" ref="BC30" si="11">BC8+BC9+BC11+BC12+BC13+BC14+BC15+BC16+BC17+BC19+BC20+BC21+BC23+BC24+BC25+BC26+BC28+BC29</f>
        <v>13</v>
      </c>
      <c r="BD30" s="17">
        <f t="shared" ref="BD30" si="12">BD8+BD9+BD11+BD12+BD13+BD14+BD15+BD16+BD17+BD19+BD20+BD21+BD23+BD24+BD25+BD26+BD28+BD29</f>
        <v>12</v>
      </c>
      <c r="BE30" s="17">
        <f t="shared" ref="BE30" si="13">BE8+BE9+BE11+BE12+BE13+BE14+BE15+BE16+BE17+BE19+BE20+BE21+BE23+BE24+BE25+BE26+BE28+BE29</f>
        <v>12</v>
      </c>
      <c r="BF30" s="17">
        <f t="shared" ref="BF30" si="14">BF8+BF9+BF11+BF12+BF13+BF14+BF15+BF16+BF17+BF19+BF20+BF21+BF23+BF24+BF25+BF26+BF28+BF29</f>
        <v>11</v>
      </c>
      <c r="BG30" s="17">
        <f t="shared" ref="BG30" si="15">BG8+BG9+BG11+BG12+BG13+BG14+BG15+BG16+BG17+BG19+BG20+BG21+BG23+BG24+BG25+BG26+BG28+BG29</f>
        <v>11</v>
      </c>
      <c r="BH30" s="17">
        <f t="shared" ref="BH30" si="16">BH8+BH9+BH11+BH12+BH13+BH14+BH15+BH16+BH17+BH19+BH20+BH21+BH23+BH24+BH25+BH26+BH28+BH29</f>
        <v>11</v>
      </c>
      <c r="BI30" s="17">
        <f t="shared" ref="BI30" si="17">BI8+BI9+BI11+BI12+BI13+BI14+BI15+BI16+BI17+BI19+BI20+BI21+BI23+BI24+BI25+BI26+BI28+BI29</f>
        <v>12</v>
      </c>
      <c r="BJ30" s="17">
        <f t="shared" ref="BJ30" si="18">BJ8+BJ9+BJ11+BJ12+BJ13+BJ14+BJ15+BJ16+BJ17+BJ19+BJ20+BJ21+BJ23+BJ24+BJ25+BJ26+BJ28+BJ29</f>
        <v>12</v>
      </c>
      <c r="BK30" s="17">
        <f t="shared" ref="BK30:BL30" si="19">BK8+BK9+BK11+BK12+BK13+BK14+BK15+BK16+BK17+BK19+BK20+BK21+BK23+BK24+BK25+BK26+BK28+BK29</f>
        <v>12</v>
      </c>
      <c r="BL30" s="17">
        <f t="shared" si="19"/>
        <v>12</v>
      </c>
    </row>
    <row r="31" spans="2:64" ht="75" x14ac:dyDescent="0.35">
      <c r="B31" s="12">
        <v>2</v>
      </c>
      <c r="C31" s="13" t="s">
        <v>34</v>
      </c>
      <c r="D31" s="25">
        <v>1</v>
      </c>
      <c r="E31" s="25">
        <v>1</v>
      </c>
      <c r="F31" s="25">
        <v>1</v>
      </c>
      <c r="G31" s="25">
        <v>1</v>
      </c>
      <c r="H31" s="25">
        <v>1</v>
      </c>
      <c r="I31" s="25">
        <v>1</v>
      </c>
      <c r="J31" s="25">
        <v>0</v>
      </c>
      <c r="K31" s="25">
        <v>1</v>
      </c>
      <c r="L31" s="25">
        <v>1</v>
      </c>
      <c r="M31" s="25">
        <v>1</v>
      </c>
      <c r="N31" s="25">
        <v>1</v>
      </c>
      <c r="O31" s="25">
        <v>1</v>
      </c>
      <c r="AJ31" s="16" t="s">
        <v>32</v>
      </c>
      <c r="AK31" s="17"/>
      <c r="AL31" s="30">
        <f t="shared" ref="AL31:AV31" si="20">AL30/18</f>
        <v>0.83333333333333337</v>
      </c>
      <c r="AM31" s="30">
        <f t="shared" si="20"/>
        <v>0.83333333333333337</v>
      </c>
      <c r="AN31" s="30">
        <f t="shared" si="20"/>
        <v>0.83333333333333337</v>
      </c>
      <c r="AO31" s="30">
        <f t="shared" si="20"/>
        <v>0.66666666666666663</v>
      </c>
      <c r="AP31" s="30">
        <f t="shared" si="20"/>
        <v>0.72222222222222221</v>
      </c>
      <c r="AQ31" s="30">
        <f t="shared" si="20"/>
        <v>0.77777777777777779</v>
      </c>
      <c r="AR31" s="30">
        <f t="shared" si="20"/>
        <v>0.55555555555555558</v>
      </c>
      <c r="AS31" s="30">
        <f t="shared" si="20"/>
        <v>0.61111111111111116</v>
      </c>
      <c r="AT31" s="30">
        <f t="shared" si="20"/>
        <v>0.55555555555555558</v>
      </c>
      <c r="AU31" s="30">
        <f t="shared" si="20"/>
        <v>0.44444444444444442</v>
      </c>
      <c r="AV31" s="30">
        <f t="shared" si="20"/>
        <v>0.5</v>
      </c>
      <c r="AW31" s="30">
        <f t="shared" ref="AW31" si="21">AW30/18</f>
        <v>0.5</v>
      </c>
      <c r="AY31" s="16" t="s">
        <v>32</v>
      </c>
      <c r="AZ31" s="17"/>
      <c r="BA31" s="30">
        <f t="shared" ref="BA31" si="22">BA30/18</f>
        <v>0.66666666666666663</v>
      </c>
      <c r="BB31" s="30">
        <f t="shared" ref="BB31" si="23">BB30/18</f>
        <v>0.66666666666666663</v>
      </c>
      <c r="BC31" s="30">
        <f t="shared" ref="BC31" si="24">BC30/18</f>
        <v>0.72222222222222221</v>
      </c>
      <c r="BD31" s="30">
        <f t="shared" ref="BD31" si="25">BD30/18</f>
        <v>0.66666666666666663</v>
      </c>
      <c r="BE31" s="30">
        <f t="shared" ref="BE31" si="26">BE30/18</f>
        <v>0.66666666666666663</v>
      </c>
      <c r="BF31" s="30">
        <f t="shared" ref="BF31" si="27">BF30/18</f>
        <v>0.61111111111111116</v>
      </c>
      <c r="BG31" s="30">
        <f t="shared" ref="BG31" si="28">BG30/18</f>
        <v>0.61111111111111116</v>
      </c>
      <c r="BH31" s="30">
        <f t="shared" ref="BH31" si="29">BH30/18</f>
        <v>0.61111111111111116</v>
      </c>
      <c r="BI31" s="30">
        <f t="shared" ref="BI31" si="30">BI30/18</f>
        <v>0.66666666666666663</v>
      </c>
      <c r="BJ31" s="30">
        <f t="shared" ref="BJ31" si="31">BJ30/18</f>
        <v>0.66666666666666663</v>
      </c>
      <c r="BK31" s="30">
        <f t="shared" ref="BK31:BL31" si="32">BK30/18</f>
        <v>0.66666666666666663</v>
      </c>
      <c r="BL31" s="30">
        <f t="shared" si="32"/>
        <v>0.66666666666666663</v>
      </c>
    </row>
    <row r="32" spans="2:64" ht="30.5" x14ac:dyDescent="0.35">
      <c r="B32" s="12"/>
      <c r="C32" s="19" t="s">
        <v>27</v>
      </c>
      <c r="D32" s="20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2"/>
      <c r="Y32" s="51" t="s">
        <v>142</v>
      </c>
    </row>
    <row r="33" spans="2:64" ht="46.5" x14ac:dyDescent="0.35">
      <c r="B33" s="12">
        <v>3</v>
      </c>
      <c r="C33" s="13" t="s">
        <v>48</v>
      </c>
      <c r="D33" s="24">
        <v>1</v>
      </c>
      <c r="E33" s="24">
        <v>1</v>
      </c>
      <c r="F33" s="24">
        <v>1</v>
      </c>
      <c r="G33" s="24">
        <v>0</v>
      </c>
      <c r="H33" s="24">
        <v>0</v>
      </c>
      <c r="I33" s="24">
        <v>0</v>
      </c>
      <c r="J33" s="24">
        <v>0</v>
      </c>
      <c r="K33" s="24">
        <v>0</v>
      </c>
      <c r="L33" s="24">
        <v>1</v>
      </c>
      <c r="M33" s="24">
        <v>1</v>
      </c>
      <c r="N33" s="24">
        <v>1</v>
      </c>
      <c r="O33" s="24">
        <v>1</v>
      </c>
      <c r="T33" s="35" t="s">
        <v>0</v>
      </c>
      <c r="U33" s="10" t="s">
        <v>25</v>
      </c>
      <c r="V33" s="57" t="s">
        <v>115</v>
      </c>
      <c r="W33" s="58"/>
      <c r="X33" s="59"/>
      <c r="Y33" s="57" t="s">
        <v>116</v>
      </c>
      <c r="Z33" s="58"/>
      <c r="AA33" s="59"/>
      <c r="AB33" s="57"/>
      <c r="AC33" s="58"/>
      <c r="AD33" s="59"/>
      <c r="AE33" s="57"/>
      <c r="AF33" s="58"/>
      <c r="AG33" s="59"/>
      <c r="AJ33" s="35" t="s">
        <v>0</v>
      </c>
      <c r="AK33" s="10" t="s">
        <v>25</v>
      </c>
      <c r="AL33" s="57" t="s">
        <v>82</v>
      </c>
      <c r="AM33" s="58"/>
      <c r="AN33" s="59"/>
      <c r="AO33" s="57" t="s">
        <v>83</v>
      </c>
      <c r="AP33" s="58"/>
      <c r="AQ33" s="59"/>
      <c r="AR33" s="57" t="s">
        <v>170</v>
      </c>
      <c r="AS33" s="58"/>
      <c r="AT33" s="59"/>
      <c r="AU33" s="57" t="s">
        <v>171</v>
      </c>
      <c r="AV33" s="58"/>
      <c r="AW33" s="59"/>
      <c r="AY33" s="35" t="s">
        <v>0</v>
      </c>
      <c r="AZ33" s="10" t="s">
        <v>25</v>
      </c>
      <c r="BA33" s="57" t="s">
        <v>95</v>
      </c>
      <c r="BB33" s="58"/>
      <c r="BC33" s="59"/>
      <c r="BD33" s="57" t="s">
        <v>96</v>
      </c>
      <c r="BE33" s="58"/>
      <c r="BF33" s="59"/>
      <c r="BG33" s="57" t="s">
        <v>97</v>
      </c>
      <c r="BH33" s="58"/>
      <c r="BI33" s="59"/>
      <c r="BJ33" s="57" t="s">
        <v>98</v>
      </c>
      <c r="BK33" s="58"/>
      <c r="BL33" s="59"/>
    </row>
    <row r="34" spans="2:64" ht="46.5" x14ac:dyDescent="0.35">
      <c r="B34" s="12">
        <v>4</v>
      </c>
      <c r="C34" s="13" t="s">
        <v>35</v>
      </c>
      <c r="D34" s="12">
        <v>1</v>
      </c>
      <c r="E34" s="12">
        <v>1</v>
      </c>
      <c r="F34" s="12">
        <v>1</v>
      </c>
      <c r="G34" s="12">
        <v>0</v>
      </c>
      <c r="H34" s="12">
        <v>1</v>
      </c>
      <c r="I34" s="12">
        <v>1</v>
      </c>
      <c r="J34" s="12">
        <v>1</v>
      </c>
      <c r="K34" s="12">
        <v>1</v>
      </c>
      <c r="L34" s="12">
        <v>1</v>
      </c>
      <c r="M34" s="12">
        <v>1</v>
      </c>
      <c r="N34" s="12">
        <v>1</v>
      </c>
      <c r="O34" s="12">
        <v>1</v>
      </c>
      <c r="T34" s="36"/>
      <c r="U34" s="11" t="s">
        <v>26</v>
      </c>
      <c r="V34" s="14">
        <v>2022</v>
      </c>
      <c r="W34" s="14">
        <v>2023</v>
      </c>
      <c r="X34" s="14">
        <v>2024</v>
      </c>
      <c r="Y34" s="14">
        <v>2022</v>
      </c>
      <c r="Z34" s="14">
        <v>2023</v>
      </c>
      <c r="AA34" s="14">
        <v>2024</v>
      </c>
      <c r="AB34" s="14">
        <v>2022</v>
      </c>
      <c r="AC34" s="14">
        <v>2023</v>
      </c>
      <c r="AD34" s="14">
        <v>2024</v>
      </c>
      <c r="AE34" s="14">
        <v>2022</v>
      </c>
      <c r="AF34" s="14">
        <v>2023</v>
      </c>
      <c r="AG34" s="14">
        <v>2024</v>
      </c>
      <c r="AJ34" s="36"/>
      <c r="AK34" s="11" t="s">
        <v>26</v>
      </c>
      <c r="AL34" s="14">
        <v>2022</v>
      </c>
      <c r="AM34" s="14">
        <v>2023</v>
      </c>
      <c r="AN34" s="14">
        <v>2024</v>
      </c>
      <c r="AO34" s="14">
        <v>2022</v>
      </c>
      <c r="AP34" s="14">
        <v>2023</v>
      </c>
      <c r="AQ34" s="14">
        <v>2024</v>
      </c>
      <c r="AR34" s="14">
        <v>2022</v>
      </c>
      <c r="AS34" s="14">
        <v>2023</v>
      </c>
      <c r="AT34" s="14">
        <v>2024</v>
      </c>
      <c r="AU34" s="14">
        <v>2022</v>
      </c>
      <c r="AV34" s="14">
        <v>2023</v>
      </c>
      <c r="AW34" s="14">
        <v>2024</v>
      </c>
      <c r="AY34" s="36"/>
      <c r="AZ34" s="11" t="s">
        <v>26</v>
      </c>
      <c r="BA34" s="14">
        <v>2022</v>
      </c>
      <c r="BB34" s="14">
        <v>2023</v>
      </c>
      <c r="BC34" s="14">
        <v>2024</v>
      </c>
      <c r="BD34" s="14">
        <v>2022</v>
      </c>
      <c r="BE34" s="14">
        <v>2023</v>
      </c>
      <c r="BF34" s="14">
        <v>2024</v>
      </c>
      <c r="BG34" s="14">
        <v>2022</v>
      </c>
      <c r="BH34" s="14">
        <v>2023</v>
      </c>
      <c r="BI34" s="14">
        <v>2024</v>
      </c>
      <c r="BJ34" s="14">
        <v>2022</v>
      </c>
      <c r="BK34" s="14">
        <v>2023</v>
      </c>
      <c r="BL34" s="14">
        <v>2024</v>
      </c>
    </row>
    <row r="35" spans="2:64" ht="77.5" x14ac:dyDescent="0.35">
      <c r="B35" s="12">
        <v>5</v>
      </c>
      <c r="C35" s="13" t="s">
        <v>36</v>
      </c>
      <c r="D35" s="12">
        <v>1</v>
      </c>
      <c r="E35" s="12">
        <v>1</v>
      </c>
      <c r="F35" s="12">
        <v>1</v>
      </c>
      <c r="G35" s="12">
        <v>1</v>
      </c>
      <c r="H35" s="12">
        <v>1</v>
      </c>
      <c r="I35" s="12">
        <v>1</v>
      </c>
      <c r="J35" s="12">
        <v>1</v>
      </c>
      <c r="K35" s="12">
        <v>1</v>
      </c>
      <c r="L35" s="12">
        <v>1</v>
      </c>
      <c r="M35" s="12">
        <v>1</v>
      </c>
      <c r="N35" s="12">
        <v>1</v>
      </c>
      <c r="O35" s="12">
        <v>1</v>
      </c>
      <c r="T35" s="12">
        <v>1</v>
      </c>
      <c r="U35" s="18" t="s">
        <v>49</v>
      </c>
      <c r="V35" s="12">
        <v>0</v>
      </c>
      <c r="W35" s="12">
        <v>0</v>
      </c>
      <c r="X35" s="12">
        <v>1</v>
      </c>
      <c r="Y35" s="12">
        <v>0</v>
      </c>
      <c r="Z35" s="12">
        <v>0</v>
      </c>
      <c r="AA35" s="12">
        <v>0</v>
      </c>
      <c r="AB35" s="12"/>
      <c r="AC35" s="12"/>
      <c r="AD35" s="12"/>
      <c r="AE35" s="12"/>
      <c r="AF35" s="12"/>
      <c r="AG35" s="12"/>
      <c r="AJ35" s="12">
        <v>1</v>
      </c>
      <c r="AK35" s="18" t="s">
        <v>49</v>
      </c>
      <c r="AL35" s="12">
        <v>1</v>
      </c>
      <c r="AM35" s="12">
        <v>1</v>
      </c>
      <c r="AN35" s="12">
        <v>1</v>
      </c>
      <c r="AO35" s="12">
        <v>0</v>
      </c>
      <c r="AP35" s="12">
        <v>1</v>
      </c>
      <c r="AQ35" s="12">
        <v>1</v>
      </c>
      <c r="AR35" s="12">
        <v>1</v>
      </c>
      <c r="AS35" s="12">
        <v>1</v>
      </c>
      <c r="AT35" s="12">
        <v>1</v>
      </c>
      <c r="AU35" s="12">
        <v>1</v>
      </c>
      <c r="AV35" s="12">
        <v>1</v>
      </c>
      <c r="AW35" s="12">
        <v>1</v>
      </c>
      <c r="AY35" s="12">
        <v>1</v>
      </c>
      <c r="AZ35" s="18" t="s">
        <v>49</v>
      </c>
      <c r="BA35" s="12">
        <v>1</v>
      </c>
      <c r="BB35" s="12">
        <v>1</v>
      </c>
      <c r="BC35" s="12">
        <v>1</v>
      </c>
      <c r="BD35" s="12">
        <v>1</v>
      </c>
      <c r="BE35" s="12">
        <v>0</v>
      </c>
      <c r="BF35" s="12">
        <v>0</v>
      </c>
      <c r="BG35" s="12">
        <v>0</v>
      </c>
      <c r="BH35" s="12">
        <v>0</v>
      </c>
      <c r="BI35" s="12">
        <v>1</v>
      </c>
      <c r="BJ35" s="12">
        <v>0</v>
      </c>
      <c r="BK35" s="12">
        <v>0</v>
      </c>
      <c r="BL35" s="12">
        <v>0</v>
      </c>
    </row>
    <row r="36" spans="2:64" ht="46.5" x14ac:dyDescent="0.35">
      <c r="B36" s="12">
        <v>6</v>
      </c>
      <c r="C36" s="13" t="s">
        <v>37</v>
      </c>
      <c r="D36" s="12">
        <v>1</v>
      </c>
      <c r="E36" s="12">
        <v>1</v>
      </c>
      <c r="F36" s="12">
        <v>1</v>
      </c>
      <c r="G36" s="12">
        <v>1</v>
      </c>
      <c r="H36" s="12">
        <v>1</v>
      </c>
      <c r="I36" s="12">
        <v>1</v>
      </c>
      <c r="J36" s="12">
        <v>1</v>
      </c>
      <c r="K36" s="12">
        <v>1</v>
      </c>
      <c r="L36" s="12">
        <v>1</v>
      </c>
      <c r="M36" s="12">
        <v>1</v>
      </c>
      <c r="N36" s="12">
        <v>1</v>
      </c>
      <c r="O36" s="12">
        <v>1</v>
      </c>
      <c r="T36" s="12">
        <v>2</v>
      </c>
      <c r="U36" s="13" t="s">
        <v>34</v>
      </c>
      <c r="V36" s="25">
        <v>0</v>
      </c>
      <c r="W36" s="25">
        <v>0</v>
      </c>
      <c r="X36" s="25">
        <v>0</v>
      </c>
      <c r="Y36" s="25">
        <v>0</v>
      </c>
      <c r="Z36" s="25">
        <v>0</v>
      </c>
      <c r="AA36" s="25">
        <v>0</v>
      </c>
      <c r="AB36" s="25"/>
      <c r="AC36" s="25"/>
      <c r="AD36" s="25"/>
      <c r="AE36" s="25"/>
      <c r="AF36" s="25"/>
      <c r="AG36" s="25"/>
      <c r="AJ36" s="12">
        <v>2</v>
      </c>
      <c r="AK36" s="13" t="s">
        <v>34</v>
      </c>
      <c r="AL36" s="25">
        <v>0</v>
      </c>
      <c r="AM36" s="25">
        <v>1</v>
      </c>
      <c r="AN36" s="25">
        <v>0</v>
      </c>
      <c r="AO36" s="25">
        <v>0</v>
      </c>
      <c r="AP36" s="25">
        <v>1</v>
      </c>
      <c r="AQ36" s="25">
        <v>0</v>
      </c>
      <c r="AR36" s="25">
        <v>0</v>
      </c>
      <c r="AS36" s="25">
        <v>0</v>
      </c>
      <c r="AT36" s="25">
        <v>0</v>
      </c>
      <c r="AU36" s="25">
        <v>0</v>
      </c>
      <c r="AV36" s="25">
        <v>0</v>
      </c>
      <c r="AW36" s="25">
        <v>0</v>
      </c>
      <c r="AY36" s="12">
        <v>2</v>
      </c>
      <c r="AZ36" s="13" t="s">
        <v>34</v>
      </c>
      <c r="BA36" s="25">
        <v>0</v>
      </c>
      <c r="BB36" s="25">
        <v>0</v>
      </c>
      <c r="BC36" s="25">
        <v>0</v>
      </c>
      <c r="BD36" s="25">
        <v>0</v>
      </c>
      <c r="BE36" s="25">
        <v>0</v>
      </c>
      <c r="BF36" s="25">
        <v>0</v>
      </c>
      <c r="BG36" s="25">
        <v>0</v>
      </c>
      <c r="BH36" s="25">
        <v>0</v>
      </c>
      <c r="BI36" s="25">
        <v>1</v>
      </c>
      <c r="BJ36" s="25">
        <v>0</v>
      </c>
      <c r="BK36" s="25">
        <v>0</v>
      </c>
      <c r="BL36" s="25">
        <v>0</v>
      </c>
    </row>
    <row r="37" spans="2:64" ht="31" x14ac:dyDescent="0.35">
      <c r="B37" s="12">
        <v>7</v>
      </c>
      <c r="C37" s="13" t="s">
        <v>38</v>
      </c>
      <c r="D37" s="12">
        <v>1</v>
      </c>
      <c r="E37" s="12">
        <v>1</v>
      </c>
      <c r="F37" s="12">
        <v>1</v>
      </c>
      <c r="G37" s="12">
        <v>1</v>
      </c>
      <c r="H37" s="12">
        <v>1</v>
      </c>
      <c r="I37" s="12">
        <v>1</v>
      </c>
      <c r="J37" s="12">
        <v>1</v>
      </c>
      <c r="K37" s="12">
        <v>1</v>
      </c>
      <c r="L37" s="12">
        <v>1</v>
      </c>
      <c r="M37" s="12">
        <v>1</v>
      </c>
      <c r="N37" s="12">
        <v>1</v>
      </c>
      <c r="O37" s="12">
        <v>1</v>
      </c>
      <c r="T37" s="12"/>
      <c r="U37" s="19" t="s">
        <v>27</v>
      </c>
      <c r="V37" s="20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2"/>
      <c r="AJ37" s="12"/>
      <c r="AK37" s="19" t="s">
        <v>27</v>
      </c>
      <c r="AL37" s="20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2"/>
      <c r="AY37" s="12"/>
      <c r="AZ37" s="19" t="s">
        <v>27</v>
      </c>
      <c r="BA37" s="20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2"/>
    </row>
    <row r="38" spans="2:64" ht="62" x14ac:dyDescent="0.35">
      <c r="B38" s="12">
        <v>8</v>
      </c>
      <c r="C38" s="13" t="s">
        <v>39</v>
      </c>
      <c r="D38" s="12">
        <v>1</v>
      </c>
      <c r="E38" s="12">
        <v>1</v>
      </c>
      <c r="F38" s="12">
        <v>1</v>
      </c>
      <c r="G38" s="12">
        <v>1</v>
      </c>
      <c r="H38" s="12">
        <v>1</v>
      </c>
      <c r="I38" s="12">
        <v>1</v>
      </c>
      <c r="J38" s="12">
        <v>1</v>
      </c>
      <c r="K38" s="12">
        <v>1</v>
      </c>
      <c r="L38" s="12">
        <v>1</v>
      </c>
      <c r="M38" s="12">
        <v>1</v>
      </c>
      <c r="N38" s="12">
        <v>1</v>
      </c>
      <c r="O38" s="12">
        <v>1</v>
      </c>
      <c r="T38" s="12">
        <v>3</v>
      </c>
      <c r="U38" s="13" t="s">
        <v>48</v>
      </c>
      <c r="V38" s="24">
        <v>0</v>
      </c>
      <c r="W38" s="24">
        <v>0</v>
      </c>
      <c r="X38" s="24">
        <v>0</v>
      </c>
      <c r="Y38" s="24">
        <v>0</v>
      </c>
      <c r="Z38" s="24">
        <v>0</v>
      </c>
      <c r="AA38" s="24">
        <v>0</v>
      </c>
      <c r="AB38" s="24"/>
      <c r="AC38" s="24"/>
      <c r="AD38" s="24"/>
      <c r="AE38" s="24"/>
      <c r="AF38" s="24"/>
      <c r="AG38" s="24"/>
      <c r="AJ38" s="12">
        <v>3</v>
      </c>
      <c r="AK38" s="13" t="s">
        <v>48</v>
      </c>
      <c r="AL38" s="24">
        <v>1</v>
      </c>
      <c r="AM38" s="24">
        <v>1</v>
      </c>
      <c r="AN38" s="24">
        <v>1</v>
      </c>
      <c r="AO38" s="24">
        <v>1</v>
      </c>
      <c r="AP38" s="24">
        <v>1</v>
      </c>
      <c r="AQ38" s="24">
        <v>1</v>
      </c>
      <c r="AR38" s="24">
        <v>1</v>
      </c>
      <c r="AS38" s="24">
        <v>1</v>
      </c>
      <c r="AT38" s="24">
        <v>1</v>
      </c>
      <c r="AU38" s="24">
        <v>0</v>
      </c>
      <c r="AV38" s="24">
        <v>0</v>
      </c>
      <c r="AW38" s="24">
        <v>0</v>
      </c>
      <c r="AY38" s="12">
        <v>3</v>
      </c>
      <c r="AZ38" s="13" t="s">
        <v>48</v>
      </c>
      <c r="BA38" s="24">
        <v>0</v>
      </c>
      <c r="BB38" s="24">
        <v>0</v>
      </c>
      <c r="BC38" s="24">
        <v>0</v>
      </c>
      <c r="BD38" s="24">
        <v>1</v>
      </c>
      <c r="BE38" s="24">
        <v>1</v>
      </c>
      <c r="BF38" s="24">
        <v>1</v>
      </c>
      <c r="BG38" s="24">
        <v>1</v>
      </c>
      <c r="BH38" s="24">
        <v>1</v>
      </c>
      <c r="BI38" s="24">
        <v>1</v>
      </c>
      <c r="BJ38" s="24">
        <v>1</v>
      </c>
      <c r="BK38" s="24">
        <v>1</v>
      </c>
      <c r="BL38" s="24">
        <v>1</v>
      </c>
    </row>
    <row r="39" spans="2:64" ht="62" x14ac:dyDescent="0.35">
      <c r="B39" s="12">
        <v>9</v>
      </c>
      <c r="C39" s="13" t="s">
        <v>40</v>
      </c>
      <c r="D39" s="25">
        <v>1</v>
      </c>
      <c r="E39" s="25">
        <v>1</v>
      </c>
      <c r="F39" s="25">
        <v>1</v>
      </c>
      <c r="G39" s="25">
        <v>1</v>
      </c>
      <c r="H39" s="25">
        <v>1</v>
      </c>
      <c r="I39" s="25">
        <v>1</v>
      </c>
      <c r="J39" s="25">
        <v>1</v>
      </c>
      <c r="K39" s="25">
        <v>1</v>
      </c>
      <c r="L39" s="25">
        <v>1</v>
      </c>
      <c r="M39" s="25">
        <v>1</v>
      </c>
      <c r="N39" s="25">
        <v>1</v>
      </c>
      <c r="O39" s="25">
        <v>0</v>
      </c>
      <c r="T39" s="12">
        <v>4</v>
      </c>
      <c r="U39" s="13" t="s">
        <v>35</v>
      </c>
      <c r="V39" s="12">
        <v>0</v>
      </c>
      <c r="W39" s="12">
        <v>0</v>
      </c>
      <c r="X39" s="12">
        <v>0</v>
      </c>
      <c r="Y39" s="12">
        <v>0</v>
      </c>
      <c r="Z39" s="12">
        <v>0</v>
      </c>
      <c r="AA39" s="12">
        <v>0</v>
      </c>
      <c r="AB39" s="12"/>
      <c r="AC39" s="12"/>
      <c r="AD39" s="12"/>
      <c r="AE39" s="12"/>
      <c r="AF39" s="12"/>
      <c r="AG39" s="12"/>
      <c r="AJ39" s="12">
        <v>4</v>
      </c>
      <c r="AK39" s="13" t="s">
        <v>35</v>
      </c>
      <c r="AL39" s="12">
        <v>0</v>
      </c>
      <c r="AM39" s="12">
        <v>0</v>
      </c>
      <c r="AN39" s="12">
        <v>0</v>
      </c>
      <c r="AO39" s="12">
        <v>0</v>
      </c>
      <c r="AP39" s="12">
        <v>1</v>
      </c>
      <c r="AQ39" s="12">
        <v>0</v>
      </c>
      <c r="AR39" s="12">
        <v>0</v>
      </c>
      <c r="AS39" s="12">
        <v>0</v>
      </c>
      <c r="AT39" s="12">
        <v>0</v>
      </c>
      <c r="AU39" s="12">
        <v>0</v>
      </c>
      <c r="AV39" s="12">
        <v>0</v>
      </c>
      <c r="AW39" s="12">
        <v>0</v>
      </c>
      <c r="AY39" s="12">
        <v>4</v>
      </c>
      <c r="AZ39" s="13" t="s">
        <v>35</v>
      </c>
      <c r="BA39" s="12">
        <v>0</v>
      </c>
      <c r="BB39" s="12">
        <v>0</v>
      </c>
      <c r="BC39" s="12">
        <v>0</v>
      </c>
      <c r="BD39" s="12">
        <v>0</v>
      </c>
      <c r="BE39" s="12">
        <v>0</v>
      </c>
      <c r="BF39" s="12">
        <v>0</v>
      </c>
      <c r="BG39" s="12">
        <v>0</v>
      </c>
      <c r="BH39" s="12">
        <v>0</v>
      </c>
      <c r="BI39" s="12">
        <v>0</v>
      </c>
      <c r="BJ39" s="12">
        <v>0</v>
      </c>
      <c r="BK39" s="12">
        <v>0</v>
      </c>
      <c r="BL39" s="12">
        <v>0</v>
      </c>
    </row>
    <row r="40" spans="2:64" ht="31" x14ac:dyDescent="0.35">
      <c r="B40" s="12"/>
      <c r="C40" s="23" t="s">
        <v>28</v>
      </c>
      <c r="D40" s="20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2"/>
      <c r="T40" s="12">
        <v>5</v>
      </c>
      <c r="U40" s="13" t="s">
        <v>36</v>
      </c>
      <c r="V40" s="12">
        <v>1</v>
      </c>
      <c r="W40" s="12">
        <v>1</v>
      </c>
      <c r="X40" s="12">
        <v>1</v>
      </c>
      <c r="Y40" s="12">
        <v>1</v>
      </c>
      <c r="Z40" s="12">
        <v>1</v>
      </c>
      <c r="AA40" s="12">
        <v>1</v>
      </c>
      <c r="AB40" s="12"/>
      <c r="AC40" s="12"/>
      <c r="AD40" s="12"/>
      <c r="AE40" s="12"/>
      <c r="AF40" s="12"/>
      <c r="AG40" s="12"/>
      <c r="AJ40" s="12">
        <v>5</v>
      </c>
      <c r="AK40" s="13" t="s">
        <v>36</v>
      </c>
      <c r="AL40" s="12">
        <v>1</v>
      </c>
      <c r="AM40" s="12">
        <v>1</v>
      </c>
      <c r="AN40" s="12">
        <v>1</v>
      </c>
      <c r="AO40" s="12">
        <v>1</v>
      </c>
      <c r="AP40" s="12">
        <v>1</v>
      </c>
      <c r="AQ40" s="12">
        <v>1</v>
      </c>
      <c r="AR40" s="12">
        <v>1</v>
      </c>
      <c r="AS40" s="12">
        <v>1</v>
      </c>
      <c r="AT40" s="12">
        <v>1</v>
      </c>
      <c r="AU40" s="12">
        <v>1</v>
      </c>
      <c r="AV40" s="12">
        <v>1</v>
      </c>
      <c r="AW40" s="12">
        <v>1</v>
      </c>
      <c r="AY40" s="12">
        <v>5</v>
      </c>
      <c r="AZ40" s="13" t="s">
        <v>36</v>
      </c>
      <c r="BA40" s="12">
        <v>1</v>
      </c>
      <c r="BB40" s="12">
        <v>1</v>
      </c>
      <c r="BC40" s="12">
        <v>1</v>
      </c>
      <c r="BD40" s="12">
        <v>1</v>
      </c>
      <c r="BE40" s="12">
        <v>1</v>
      </c>
      <c r="BF40" s="12">
        <v>1</v>
      </c>
      <c r="BG40" s="12">
        <v>1</v>
      </c>
      <c r="BH40" s="12">
        <v>1</v>
      </c>
      <c r="BI40" s="12">
        <v>1</v>
      </c>
      <c r="BJ40" s="12">
        <v>1</v>
      </c>
      <c r="BK40" s="12">
        <v>1</v>
      </c>
      <c r="BL40" s="12">
        <v>1</v>
      </c>
    </row>
    <row r="41" spans="2:64" ht="31" x14ac:dyDescent="0.35">
      <c r="B41" s="12">
        <v>10</v>
      </c>
      <c r="C41" s="13" t="s">
        <v>41</v>
      </c>
      <c r="D41" s="24">
        <v>1</v>
      </c>
      <c r="E41" s="24">
        <v>1</v>
      </c>
      <c r="F41" s="24">
        <v>1</v>
      </c>
      <c r="G41" s="24">
        <v>1</v>
      </c>
      <c r="H41" s="24">
        <v>1</v>
      </c>
      <c r="I41" s="24">
        <v>1</v>
      </c>
      <c r="J41" s="24">
        <v>1</v>
      </c>
      <c r="K41" s="24">
        <v>1</v>
      </c>
      <c r="L41" s="24">
        <v>1</v>
      </c>
      <c r="M41" s="24">
        <v>1</v>
      </c>
      <c r="N41" s="24">
        <v>1</v>
      </c>
      <c r="O41" s="24">
        <v>1</v>
      </c>
      <c r="T41" s="12">
        <v>6</v>
      </c>
      <c r="U41" s="13" t="s">
        <v>37</v>
      </c>
      <c r="V41" s="12">
        <v>1</v>
      </c>
      <c r="W41" s="12">
        <v>1</v>
      </c>
      <c r="X41" s="12">
        <v>1</v>
      </c>
      <c r="Y41" s="12">
        <v>1</v>
      </c>
      <c r="Z41" s="12">
        <v>1</v>
      </c>
      <c r="AA41" s="12">
        <v>1</v>
      </c>
      <c r="AB41" s="12"/>
      <c r="AC41" s="12"/>
      <c r="AD41" s="12"/>
      <c r="AE41" s="12"/>
      <c r="AF41" s="12"/>
      <c r="AG41" s="12"/>
      <c r="AJ41" s="12">
        <v>6</v>
      </c>
      <c r="AK41" s="13" t="s">
        <v>37</v>
      </c>
      <c r="AL41" s="12">
        <v>1</v>
      </c>
      <c r="AM41" s="12">
        <v>1</v>
      </c>
      <c r="AN41" s="12">
        <v>1</v>
      </c>
      <c r="AO41" s="12">
        <v>1</v>
      </c>
      <c r="AP41" s="12">
        <v>1</v>
      </c>
      <c r="AQ41" s="12">
        <v>1</v>
      </c>
      <c r="AR41" s="12">
        <v>1</v>
      </c>
      <c r="AS41" s="12">
        <v>1</v>
      </c>
      <c r="AT41" s="12">
        <v>1</v>
      </c>
      <c r="AU41" s="12">
        <v>1</v>
      </c>
      <c r="AV41" s="12">
        <v>1</v>
      </c>
      <c r="AW41" s="12">
        <v>1</v>
      </c>
      <c r="AY41" s="12">
        <v>6</v>
      </c>
      <c r="AZ41" s="13" t="s">
        <v>37</v>
      </c>
      <c r="BA41" s="12">
        <v>1</v>
      </c>
      <c r="BB41" s="12">
        <v>1</v>
      </c>
      <c r="BC41" s="12">
        <v>1</v>
      </c>
      <c r="BD41" s="12">
        <v>1</v>
      </c>
      <c r="BE41" s="12">
        <v>1</v>
      </c>
      <c r="BF41" s="12">
        <v>1</v>
      </c>
      <c r="BG41" s="12">
        <v>1</v>
      </c>
      <c r="BH41" s="12">
        <v>1</v>
      </c>
      <c r="BI41" s="12">
        <v>1</v>
      </c>
      <c r="BJ41" s="12">
        <v>1</v>
      </c>
      <c r="BK41" s="12">
        <v>1</v>
      </c>
      <c r="BL41" s="12">
        <v>1</v>
      </c>
    </row>
    <row r="42" spans="2:64" ht="46.5" x14ac:dyDescent="0.35">
      <c r="B42" s="12">
        <v>11</v>
      </c>
      <c r="C42" s="13" t="s">
        <v>50</v>
      </c>
      <c r="D42" s="12">
        <v>1</v>
      </c>
      <c r="E42" s="12">
        <v>1</v>
      </c>
      <c r="F42" s="12">
        <v>1</v>
      </c>
      <c r="G42" s="12">
        <v>0</v>
      </c>
      <c r="H42" s="12">
        <v>0</v>
      </c>
      <c r="I42" s="12">
        <v>1</v>
      </c>
      <c r="J42" s="12">
        <v>1</v>
      </c>
      <c r="K42" s="12">
        <v>1</v>
      </c>
      <c r="L42" s="12">
        <v>1</v>
      </c>
      <c r="M42" s="12">
        <v>0</v>
      </c>
      <c r="N42" s="12">
        <v>0</v>
      </c>
      <c r="O42" s="12">
        <v>1</v>
      </c>
      <c r="T42" s="12">
        <v>7</v>
      </c>
      <c r="U42" s="13" t="s">
        <v>38</v>
      </c>
      <c r="V42" s="12">
        <v>1</v>
      </c>
      <c r="W42" s="12">
        <v>1</v>
      </c>
      <c r="X42" s="12">
        <v>1</v>
      </c>
      <c r="Y42" s="12">
        <v>1</v>
      </c>
      <c r="Z42" s="12">
        <v>1</v>
      </c>
      <c r="AA42" s="12">
        <v>1</v>
      </c>
      <c r="AB42" s="12"/>
      <c r="AC42" s="12"/>
      <c r="AD42" s="12"/>
      <c r="AE42" s="12"/>
      <c r="AF42" s="12"/>
      <c r="AG42" s="12"/>
      <c r="AJ42" s="12">
        <v>7</v>
      </c>
      <c r="AK42" s="13" t="s">
        <v>38</v>
      </c>
      <c r="AL42" s="12">
        <v>1</v>
      </c>
      <c r="AM42" s="12">
        <v>1</v>
      </c>
      <c r="AN42" s="12">
        <v>1</v>
      </c>
      <c r="AO42" s="12">
        <v>1</v>
      </c>
      <c r="AP42" s="12">
        <v>1</v>
      </c>
      <c r="AQ42" s="12">
        <v>1</v>
      </c>
      <c r="AR42" s="12">
        <v>1</v>
      </c>
      <c r="AS42" s="12">
        <v>1</v>
      </c>
      <c r="AT42" s="12">
        <v>1</v>
      </c>
      <c r="AU42" s="12">
        <v>1</v>
      </c>
      <c r="AV42" s="12">
        <v>1</v>
      </c>
      <c r="AW42" s="12">
        <v>1</v>
      </c>
      <c r="AY42" s="12">
        <v>7</v>
      </c>
      <c r="AZ42" s="13" t="s">
        <v>38</v>
      </c>
      <c r="BA42" s="12">
        <v>1</v>
      </c>
      <c r="BB42" s="12">
        <v>1</v>
      </c>
      <c r="BC42" s="12">
        <v>1</v>
      </c>
      <c r="BD42" s="12">
        <v>1</v>
      </c>
      <c r="BE42" s="12">
        <v>1</v>
      </c>
      <c r="BF42" s="12">
        <v>1</v>
      </c>
      <c r="BG42" s="12">
        <v>1</v>
      </c>
      <c r="BH42" s="12">
        <v>1</v>
      </c>
      <c r="BI42" s="12">
        <v>1</v>
      </c>
      <c r="BJ42" s="12">
        <v>1</v>
      </c>
      <c r="BK42" s="12">
        <v>1</v>
      </c>
      <c r="BL42" s="12">
        <v>1</v>
      </c>
    </row>
    <row r="43" spans="2:64" ht="31" x14ac:dyDescent="0.35">
      <c r="B43" s="12">
        <v>12</v>
      </c>
      <c r="C43" s="13" t="s">
        <v>42</v>
      </c>
      <c r="D43" s="25">
        <v>1</v>
      </c>
      <c r="E43" s="25">
        <v>1</v>
      </c>
      <c r="F43" s="25">
        <v>1</v>
      </c>
      <c r="G43" s="25">
        <v>1</v>
      </c>
      <c r="H43" s="25">
        <v>1</v>
      </c>
      <c r="I43" s="25">
        <v>1</v>
      </c>
      <c r="J43" s="25">
        <v>1</v>
      </c>
      <c r="K43" s="25">
        <v>1</v>
      </c>
      <c r="L43" s="25">
        <v>1</v>
      </c>
      <c r="M43" s="25">
        <v>1</v>
      </c>
      <c r="N43" s="25">
        <v>1</v>
      </c>
      <c r="O43" s="25">
        <v>1</v>
      </c>
      <c r="T43" s="12">
        <v>8</v>
      </c>
      <c r="U43" s="13" t="s">
        <v>39</v>
      </c>
      <c r="V43" s="12">
        <v>1</v>
      </c>
      <c r="W43" s="12">
        <v>1</v>
      </c>
      <c r="X43" s="12">
        <v>1</v>
      </c>
      <c r="Y43" s="12">
        <v>1</v>
      </c>
      <c r="Z43" s="12">
        <v>1</v>
      </c>
      <c r="AA43" s="12">
        <v>1</v>
      </c>
      <c r="AB43" s="12"/>
      <c r="AC43" s="12"/>
      <c r="AD43" s="12"/>
      <c r="AE43" s="12"/>
      <c r="AF43" s="12"/>
      <c r="AG43" s="12"/>
      <c r="AJ43" s="12">
        <v>8</v>
      </c>
      <c r="AK43" s="13" t="s">
        <v>39</v>
      </c>
      <c r="AL43" s="12">
        <v>1</v>
      </c>
      <c r="AM43" s="12">
        <v>1</v>
      </c>
      <c r="AN43" s="12">
        <v>1</v>
      </c>
      <c r="AO43" s="12">
        <v>1</v>
      </c>
      <c r="AP43" s="12">
        <v>1</v>
      </c>
      <c r="AQ43" s="12">
        <v>1</v>
      </c>
      <c r="AR43" s="12">
        <v>1</v>
      </c>
      <c r="AS43" s="12">
        <v>1</v>
      </c>
      <c r="AT43" s="12">
        <v>1</v>
      </c>
      <c r="AU43" s="12">
        <v>1</v>
      </c>
      <c r="AV43" s="12">
        <v>1</v>
      </c>
      <c r="AW43" s="12">
        <v>1</v>
      </c>
      <c r="AY43" s="12">
        <v>8</v>
      </c>
      <c r="AZ43" s="13" t="s">
        <v>39</v>
      </c>
      <c r="BA43" s="12">
        <v>1</v>
      </c>
      <c r="BB43" s="12">
        <v>1</v>
      </c>
      <c r="BC43" s="12">
        <v>1</v>
      </c>
      <c r="BD43" s="12">
        <v>1</v>
      </c>
      <c r="BE43" s="12">
        <v>1</v>
      </c>
      <c r="BF43" s="12">
        <v>1</v>
      </c>
      <c r="BG43" s="12">
        <v>1</v>
      </c>
      <c r="BH43" s="12">
        <v>1</v>
      </c>
      <c r="BI43" s="12">
        <v>1</v>
      </c>
      <c r="BJ43" s="12">
        <v>1</v>
      </c>
      <c r="BK43" s="12">
        <v>1</v>
      </c>
      <c r="BL43" s="12">
        <v>1</v>
      </c>
    </row>
    <row r="44" spans="2:64" ht="31" x14ac:dyDescent="0.35">
      <c r="B44" s="12"/>
      <c r="C44" s="19" t="s">
        <v>29</v>
      </c>
      <c r="D44" s="20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2"/>
      <c r="T44" s="12">
        <v>9</v>
      </c>
      <c r="U44" s="13" t="s">
        <v>40</v>
      </c>
      <c r="V44" s="25">
        <v>1</v>
      </c>
      <c r="W44" s="25">
        <v>1</v>
      </c>
      <c r="X44" s="25">
        <v>1</v>
      </c>
      <c r="Y44" s="25">
        <v>1</v>
      </c>
      <c r="Z44" s="25">
        <v>1</v>
      </c>
      <c r="AA44" s="25">
        <v>1</v>
      </c>
      <c r="AB44" s="25"/>
      <c r="AC44" s="25"/>
      <c r="AD44" s="25"/>
      <c r="AE44" s="25"/>
      <c r="AF44" s="25"/>
      <c r="AG44" s="25"/>
      <c r="AJ44" s="12">
        <v>9</v>
      </c>
      <c r="AK44" s="13" t="s">
        <v>40</v>
      </c>
      <c r="AL44" s="25">
        <v>1</v>
      </c>
      <c r="AM44" s="25">
        <v>1</v>
      </c>
      <c r="AN44" s="25">
        <v>1</v>
      </c>
      <c r="AO44" s="25">
        <v>1</v>
      </c>
      <c r="AP44" s="25">
        <v>1</v>
      </c>
      <c r="AQ44" s="25">
        <v>1</v>
      </c>
      <c r="AR44" s="25">
        <v>1</v>
      </c>
      <c r="AS44" s="25">
        <v>1</v>
      </c>
      <c r="AT44" s="25">
        <v>1</v>
      </c>
      <c r="AU44" s="25">
        <v>1</v>
      </c>
      <c r="AV44" s="25">
        <v>1</v>
      </c>
      <c r="AW44" s="25">
        <v>1</v>
      </c>
      <c r="AY44" s="12">
        <v>9</v>
      </c>
      <c r="AZ44" s="13" t="s">
        <v>40</v>
      </c>
      <c r="BA44" s="25">
        <v>1</v>
      </c>
      <c r="BB44" s="25">
        <v>1</v>
      </c>
      <c r="BC44" s="25">
        <v>1</v>
      </c>
      <c r="BD44" s="25">
        <v>1</v>
      </c>
      <c r="BE44" s="25">
        <v>1</v>
      </c>
      <c r="BF44" s="25">
        <v>1</v>
      </c>
      <c r="BG44" s="25">
        <v>1</v>
      </c>
      <c r="BH44" s="25">
        <v>1</v>
      </c>
      <c r="BI44" s="25">
        <v>1</v>
      </c>
      <c r="BJ44" s="25">
        <v>1</v>
      </c>
      <c r="BK44" s="25">
        <v>1</v>
      </c>
      <c r="BL44" s="25">
        <v>1</v>
      </c>
    </row>
    <row r="45" spans="2:64" ht="31" x14ac:dyDescent="0.35">
      <c r="B45" s="12">
        <v>13</v>
      </c>
      <c r="C45" s="13" t="s">
        <v>43</v>
      </c>
      <c r="D45" s="24">
        <v>1</v>
      </c>
      <c r="E45" s="24">
        <v>1</v>
      </c>
      <c r="F45" s="24">
        <v>1</v>
      </c>
      <c r="G45" s="24">
        <v>1</v>
      </c>
      <c r="H45" s="24">
        <v>1</v>
      </c>
      <c r="I45" s="24">
        <v>1</v>
      </c>
      <c r="J45" s="24">
        <v>1</v>
      </c>
      <c r="K45" s="24">
        <v>1</v>
      </c>
      <c r="L45" s="24">
        <v>1</v>
      </c>
      <c r="M45" s="24">
        <v>1</v>
      </c>
      <c r="N45" s="24">
        <v>1</v>
      </c>
      <c r="O45" s="24">
        <v>1</v>
      </c>
      <c r="T45" s="12"/>
      <c r="U45" s="23" t="s">
        <v>28</v>
      </c>
      <c r="V45" s="20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2"/>
      <c r="AJ45" s="12"/>
      <c r="AK45" s="23" t="s">
        <v>28</v>
      </c>
      <c r="AL45" s="20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2"/>
      <c r="AY45" s="12"/>
      <c r="AZ45" s="23" t="s">
        <v>28</v>
      </c>
      <c r="BA45" s="20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2"/>
    </row>
    <row r="46" spans="2:64" ht="31" x14ac:dyDescent="0.35">
      <c r="B46" s="12">
        <v>14</v>
      </c>
      <c r="C46" s="13" t="s">
        <v>44</v>
      </c>
      <c r="D46" s="12">
        <v>1</v>
      </c>
      <c r="E46" s="12">
        <v>1</v>
      </c>
      <c r="F46" s="12">
        <v>1</v>
      </c>
      <c r="G46" s="12">
        <v>1</v>
      </c>
      <c r="H46" s="12">
        <v>1</v>
      </c>
      <c r="I46" s="12">
        <v>1</v>
      </c>
      <c r="J46" s="12">
        <v>1</v>
      </c>
      <c r="K46" s="12">
        <v>1</v>
      </c>
      <c r="L46" s="12">
        <v>1</v>
      </c>
      <c r="M46" s="12">
        <v>1</v>
      </c>
      <c r="N46" s="12">
        <v>1</v>
      </c>
      <c r="O46" s="12">
        <v>1</v>
      </c>
      <c r="T46" s="12">
        <v>10</v>
      </c>
      <c r="U46" s="13" t="s">
        <v>41</v>
      </c>
      <c r="V46" s="24">
        <v>1</v>
      </c>
      <c r="W46" s="24">
        <v>1</v>
      </c>
      <c r="X46" s="24">
        <v>1</v>
      </c>
      <c r="Y46" s="24">
        <v>1</v>
      </c>
      <c r="Z46" s="24">
        <v>1</v>
      </c>
      <c r="AA46" s="24">
        <v>1</v>
      </c>
      <c r="AB46" s="24"/>
      <c r="AC46" s="24"/>
      <c r="AD46" s="24"/>
      <c r="AE46" s="24"/>
      <c r="AF46" s="24"/>
      <c r="AG46" s="24"/>
      <c r="AJ46" s="12">
        <v>10</v>
      </c>
      <c r="AK46" s="13" t="s">
        <v>41</v>
      </c>
      <c r="AL46" s="24">
        <v>1</v>
      </c>
      <c r="AM46" s="24">
        <v>1</v>
      </c>
      <c r="AN46" s="24">
        <v>1</v>
      </c>
      <c r="AO46" s="24">
        <v>1</v>
      </c>
      <c r="AP46" s="24">
        <v>1</v>
      </c>
      <c r="AQ46" s="24">
        <v>1</v>
      </c>
      <c r="AR46" s="24">
        <v>1</v>
      </c>
      <c r="AS46" s="24">
        <v>1</v>
      </c>
      <c r="AT46" s="24">
        <v>1</v>
      </c>
      <c r="AU46" s="24">
        <v>1</v>
      </c>
      <c r="AV46" s="24">
        <v>1</v>
      </c>
      <c r="AW46" s="24">
        <v>1</v>
      </c>
      <c r="AY46" s="12">
        <v>10</v>
      </c>
      <c r="AZ46" s="13" t="s">
        <v>41</v>
      </c>
      <c r="BA46" s="24">
        <v>1</v>
      </c>
      <c r="BB46" s="24">
        <v>1</v>
      </c>
      <c r="BC46" s="24">
        <v>1</v>
      </c>
      <c r="BD46" s="24">
        <v>1</v>
      </c>
      <c r="BE46" s="24">
        <v>1</v>
      </c>
      <c r="BF46" s="24">
        <v>1</v>
      </c>
      <c r="BG46" s="24">
        <v>1</v>
      </c>
      <c r="BH46" s="24">
        <v>1</v>
      </c>
      <c r="BI46" s="24">
        <v>1</v>
      </c>
      <c r="BJ46" s="24">
        <v>1</v>
      </c>
      <c r="BK46" s="24">
        <v>1</v>
      </c>
      <c r="BL46" s="24">
        <v>1</v>
      </c>
    </row>
    <row r="47" spans="2:64" ht="46.5" x14ac:dyDescent="0.35">
      <c r="B47" s="12">
        <v>15</v>
      </c>
      <c r="C47" s="13" t="s">
        <v>46</v>
      </c>
      <c r="D47" s="12">
        <v>1</v>
      </c>
      <c r="E47" s="12">
        <v>1</v>
      </c>
      <c r="F47" s="12">
        <v>1</v>
      </c>
      <c r="G47" s="12">
        <v>1</v>
      </c>
      <c r="H47" s="12">
        <v>1</v>
      </c>
      <c r="I47" s="12">
        <v>1</v>
      </c>
      <c r="J47" s="12">
        <v>1</v>
      </c>
      <c r="K47" s="12">
        <v>1</v>
      </c>
      <c r="L47" s="12">
        <v>1</v>
      </c>
      <c r="M47" s="12">
        <v>1</v>
      </c>
      <c r="N47" s="12">
        <v>1</v>
      </c>
      <c r="O47" s="12">
        <v>1</v>
      </c>
      <c r="T47" s="12">
        <v>11</v>
      </c>
      <c r="U47" s="13" t="s">
        <v>50</v>
      </c>
      <c r="V47" s="12">
        <v>0</v>
      </c>
      <c r="W47" s="12">
        <v>1</v>
      </c>
      <c r="X47" s="12">
        <v>1</v>
      </c>
      <c r="Y47" s="12">
        <v>0</v>
      </c>
      <c r="Z47" s="12">
        <v>0</v>
      </c>
      <c r="AA47" s="12">
        <v>0</v>
      </c>
      <c r="AB47" s="12"/>
      <c r="AC47" s="12"/>
      <c r="AD47" s="12"/>
      <c r="AE47" s="12"/>
      <c r="AF47" s="12"/>
      <c r="AG47" s="12"/>
      <c r="AJ47" s="12">
        <v>11</v>
      </c>
      <c r="AK47" s="13" t="s">
        <v>50</v>
      </c>
      <c r="AL47" s="12">
        <v>0</v>
      </c>
      <c r="AM47" s="12">
        <v>0</v>
      </c>
      <c r="AN47" s="12">
        <v>0</v>
      </c>
      <c r="AO47" s="12">
        <v>0</v>
      </c>
      <c r="AP47" s="12">
        <v>0</v>
      </c>
      <c r="AQ47" s="12">
        <v>0</v>
      </c>
      <c r="AR47" s="12">
        <v>0</v>
      </c>
      <c r="AS47" s="12">
        <v>1</v>
      </c>
      <c r="AT47" s="12">
        <v>1</v>
      </c>
      <c r="AU47" s="12">
        <v>0</v>
      </c>
      <c r="AV47" s="12">
        <v>0</v>
      </c>
      <c r="AW47" s="12">
        <v>0</v>
      </c>
      <c r="AY47" s="12">
        <v>11</v>
      </c>
      <c r="AZ47" s="13" t="s">
        <v>50</v>
      </c>
      <c r="BA47" s="12">
        <v>0</v>
      </c>
      <c r="BB47" s="12">
        <v>0</v>
      </c>
      <c r="BC47" s="12">
        <v>0</v>
      </c>
      <c r="BD47" s="12">
        <v>1</v>
      </c>
      <c r="BE47" s="12">
        <v>1</v>
      </c>
      <c r="BF47" s="12">
        <v>1</v>
      </c>
      <c r="BG47" s="12">
        <v>0</v>
      </c>
      <c r="BH47" s="12">
        <v>1</v>
      </c>
      <c r="BI47" s="12">
        <v>1</v>
      </c>
      <c r="BJ47" s="12">
        <v>0</v>
      </c>
      <c r="BK47" s="12">
        <v>0</v>
      </c>
      <c r="BL47" s="12">
        <v>0</v>
      </c>
    </row>
    <row r="48" spans="2:64" ht="46.5" x14ac:dyDescent="0.35">
      <c r="B48" s="12">
        <v>16</v>
      </c>
      <c r="C48" s="13" t="s">
        <v>45</v>
      </c>
      <c r="D48" s="25">
        <v>0</v>
      </c>
      <c r="E48" s="25">
        <v>0</v>
      </c>
      <c r="F48" s="25">
        <v>0</v>
      </c>
      <c r="G48" s="25">
        <v>0</v>
      </c>
      <c r="H48" s="25">
        <v>0</v>
      </c>
      <c r="I48" s="25">
        <v>0</v>
      </c>
      <c r="J48" s="25">
        <v>0</v>
      </c>
      <c r="K48" s="25">
        <v>0</v>
      </c>
      <c r="L48" s="25">
        <v>0</v>
      </c>
      <c r="M48" s="25">
        <v>0</v>
      </c>
      <c r="N48" s="25">
        <v>0</v>
      </c>
      <c r="O48" s="25">
        <v>0</v>
      </c>
      <c r="T48" s="12">
        <v>12</v>
      </c>
      <c r="U48" s="13" t="s">
        <v>42</v>
      </c>
      <c r="V48" s="25">
        <v>1</v>
      </c>
      <c r="W48" s="25">
        <v>1</v>
      </c>
      <c r="X48" s="25">
        <v>1</v>
      </c>
      <c r="Y48" s="25">
        <v>1</v>
      </c>
      <c r="Z48" s="25">
        <v>1</v>
      </c>
      <c r="AA48" s="25">
        <v>1</v>
      </c>
      <c r="AB48" s="25"/>
      <c r="AC48" s="25"/>
      <c r="AD48" s="25"/>
      <c r="AE48" s="25"/>
      <c r="AF48" s="25"/>
      <c r="AG48" s="25"/>
      <c r="AJ48" s="12">
        <v>12</v>
      </c>
      <c r="AK48" s="13" t="s">
        <v>42</v>
      </c>
      <c r="AL48" s="25">
        <v>1</v>
      </c>
      <c r="AM48" s="25">
        <v>1</v>
      </c>
      <c r="AN48" s="25">
        <v>1</v>
      </c>
      <c r="AO48" s="25">
        <v>1</v>
      </c>
      <c r="AP48" s="25">
        <v>1</v>
      </c>
      <c r="AQ48" s="25">
        <v>1</v>
      </c>
      <c r="AR48" s="25">
        <v>1</v>
      </c>
      <c r="AS48" s="25">
        <v>1</v>
      </c>
      <c r="AT48" s="25">
        <v>1</v>
      </c>
      <c r="AU48" s="25">
        <v>1</v>
      </c>
      <c r="AV48" s="25">
        <v>1</v>
      </c>
      <c r="AW48" s="25">
        <v>1</v>
      </c>
      <c r="AY48" s="12">
        <v>12</v>
      </c>
      <c r="AZ48" s="13" t="s">
        <v>42</v>
      </c>
      <c r="BA48" s="25">
        <v>1</v>
      </c>
      <c r="BB48" s="25">
        <v>1</v>
      </c>
      <c r="BC48" s="25">
        <v>1</v>
      </c>
      <c r="BD48" s="25">
        <v>1</v>
      </c>
      <c r="BE48" s="25">
        <v>1</v>
      </c>
      <c r="BF48" s="25">
        <v>1</v>
      </c>
      <c r="BG48" s="25">
        <v>1</v>
      </c>
      <c r="BH48" s="25">
        <v>1</v>
      </c>
      <c r="BI48" s="25">
        <v>1</v>
      </c>
      <c r="BJ48" s="25">
        <v>1</v>
      </c>
      <c r="BK48" s="25">
        <v>1</v>
      </c>
      <c r="BL48" s="25">
        <v>1</v>
      </c>
    </row>
    <row r="49" spans="2:64" ht="30.5" x14ac:dyDescent="0.35">
      <c r="B49" s="12"/>
      <c r="C49" s="23" t="s">
        <v>30</v>
      </c>
      <c r="D49" s="20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2"/>
      <c r="T49" s="12"/>
      <c r="U49" s="19" t="s">
        <v>29</v>
      </c>
      <c r="V49" s="20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2"/>
      <c r="AJ49" s="12"/>
      <c r="AK49" s="19" t="s">
        <v>29</v>
      </c>
      <c r="AL49" s="20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2"/>
      <c r="AY49" s="12"/>
      <c r="AZ49" s="19" t="s">
        <v>29</v>
      </c>
      <c r="BA49" s="20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2"/>
    </row>
    <row r="50" spans="2:64" ht="46.5" x14ac:dyDescent="0.35">
      <c r="B50" s="12">
        <v>17</v>
      </c>
      <c r="C50" s="13" t="s">
        <v>47</v>
      </c>
      <c r="D50" s="24">
        <v>0</v>
      </c>
      <c r="E50" s="24">
        <v>0</v>
      </c>
      <c r="F50" s="24">
        <v>0</v>
      </c>
      <c r="G50" s="24">
        <v>0</v>
      </c>
      <c r="H50" s="24">
        <v>1</v>
      </c>
      <c r="I50" s="24">
        <v>1</v>
      </c>
      <c r="J50" s="24">
        <v>1</v>
      </c>
      <c r="K50" s="24">
        <v>0</v>
      </c>
      <c r="L50" s="24">
        <v>0</v>
      </c>
      <c r="M50" s="24">
        <v>0</v>
      </c>
      <c r="N50" s="24">
        <v>0</v>
      </c>
      <c r="O50" s="24">
        <v>1</v>
      </c>
      <c r="T50" s="12">
        <v>13</v>
      </c>
      <c r="U50" s="13" t="s">
        <v>43</v>
      </c>
      <c r="V50" s="24">
        <v>1</v>
      </c>
      <c r="W50" s="24">
        <v>1</v>
      </c>
      <c r="X50" s="24">
        <v>1</v>
      </c>
      <c r="Y50" s="24">
        <v>1</v>
      </c>
      <c r="Z50" s="24">
        <v>1</v>
      </c>
      <c r="AA50" s="24">
        <v>1</v>
      </c>
      <c r="AB50" s="24"/>
      <c r="AC50" s="24"/>
      <c r="AD50" s="24"/>
      <c r="AE50" s="24"/>
      <c r="AF50" s="24"/>
      <c r="AG50" s="24"/>
      <c r="AJ50" s="12">
        <v>13</v>
      </c>
      <c r="AK50" s="13" t="s">
        <v>43</v>
      </c>
      <c r="AL50" s="24">
        <v>1</v>
      </c>
      <c r="AM50" s="24">
        <v>1</v>
      </c>
      <c r="AN50" s="24">
        <v>1</v>
      </c>
      <c r="AO50" s="24">
        <v>1</v>
      </c>
      <c r="AP50" s="24">
        <v>1</v>
      </c>
      <c r="AQ50" s="24">
        <v>1</v>
      </c>
      <c r="AR50" s="24">
        <v>1</v>
      </c>
      <c r="AS50" s="24">
        <v>1</v>
      </c>
      <c r="AT50" s="24">
        <v>1</v>
      </c>
      <c r="AU50" s="24">
        <v>1</v>
      </c>
      <c r="AV50" s="24">
        <v>1</v>
      </c>
      <c r="AW50" s="24">
        <v>1</v>
      </c>
      <c r="AY50" s="12">
        <v>13</v>
      </c>
      <c r="AZ50" s="13" t="s">
        <v>43</v>
      </c>
      <c r="BA50" s="24">
        <v>1</v>
      </c>
      <c r="BB50" s="24">
        <v>1</v>
      </c>
      <c r="BC50" s="24">
        <v>1</v>
      </c>
      <c r="BD50" s="24">
        <v>1</v>
      </c>
      <c r="BE50" s="24">
        <v>1</v>
      </c>
      <c r="BF50" s="24">
        <v>1</v>
      </c>
      <c r="BG50" s="24">
        <v>1</v>
      </c>
      <c r="BH50" s="24">
        <v>1</v>
      </c>
      <c r="BI50" s="24">
        <v>1</v>
      </c>
      <c r="BJ50" s="24">
        <v>1</v>
      </c>
      <c r="BK50" s="24">
        <v>1</v>
      </c>
      <c r="BL50" s="24">
        <v>1</v>
      </c>
    </row>
    <row r="51" spans="2:64" ht="62" x14ac:dyDescent="0.35">
      <c r="B51" s="12">
        <v>18</v>
      </c>
      <c r="C51" s="13" t="s">
        <v>33</v>
      </c>
      <c r="D51" s="25">
        <v>0</v>
      </c>
      <c r="E51" s="25">
        <v>0</v>
      </c>
      <c r="F51" s="25">
        <v>0</v>
      </c>
      <c r="G51" s="25">
        <v>0</v>
      </c>
      <c r="H51" s="25">
        <v>0</v>
      </c>
      <c r="I51" s="25">
        <v>0</v>
      </c>
      <c r="J51" s="25">
        <v>0</v>
      </c>
      <c r="K51" s="25">
        <v>0</v>
      </c>
      <c r="L51" s="25">
        <v>0</v>
      </c>
      <c r="M51" s="25">
        <v>0</v>
      </c>
      <c r="N51" s="25">
        <v>0</v>
      </c>
      <c r="O51" s="25">
        <v>1</v>
      </c>
      <c r="T51" s="12">
        <v>14</v>
      </c>
      <c r="U51" s="13" t="s">
        <v>44</v>
      </c>
      <c r="V51" s="12">
        <v>1</v>
      </c>
      <c r="W51" s="12">
        <v>1</v>
      </c>
      <c r="X51" s="12">
        <v>1</v>
      </c>
      <c r="Y51" s="12">
        <v>1</v>
      </c>
      <c r="Z51" s="12">
        <v>1</v>
      </c>
      <c r="AA51" s="12">
        <v>1</v>
      </c>
      <c r="AB51" s="12"/>
      <c r="AC51" s="12"/>
      <c r="AD51" s="12"/>
      <c r="AE51" s="12"/>
      <c r="AF51" s="12"/>
      <c r="AG51" s="12"/>
      <c r="AJ51" s="12">
        <v>14</v>
      </c>
      <c r="AK51" s="13" t="s">
        <v>44</v>
      </c>
      <c r="AL51" s="12">
        <v>1</v>
      </c>
      <c r="AM51" s="12">
        <v>1</v>
      </c>
      <c r="AN51" s="12">
        <v>1</v>
      </c>
      <c r="AO51" s="12">
        <v>1</v>
      </c>
      <c r="AP51" s="12">
        <v>1</v>
      </c>
      <c r="AQ51" s="12">
        <v>1</v>
      </c>
      <c r="AR51" s="12">
        <v>1</v>
      </c>
      <c r="AS51" s="12">
        <v>1</v>
      </c>
      <c r="AT51" s="12">
        <v>1</v>
      </c>
      <c r="AU51" s="12">
        <v>1</v>
      </c>
      <c r="AV51" s="12">
        <v>1</v>
      </c>
      <c r="AW51" s="12">
        <v>1</v>
      </c>
      <c r="AY51" s="12">
        <v>14</v>
      </c>
      <c r="AZ51" s="13" t="s">
        <v>44</v>
      </c>
      <c r="BA51" s="12">
        <v>1</v>
      </c>
      <c r="BB51" s="12">
        <v>1</v>
      </c>
      <c r="BC51" s="12">
        <v>1</v>
      </c>
      <c r="BD51" s="12">
        <v>1</v>
      </c>
      <c r="BE51" s="12">
        <v>1</v>
      </c>
      <c r="BF51" s="12">
        <v>1</v>
      </c>
      <c r="BG51" s="12">
        <v>1</v>
      </c>
      <c r="BH51" s="12">
        <v>1</v>
      </c>
      <c r="BI51" s="12">
        <v>1</v>
      </c>
      <c r="BJ51" s="12">
        <v>1</v>
      </c>
      <c r="BK51" s="12">
        <v>1</v>
      </c>
      <c r="BL51" s="12">
        <v>1</v>
      </c>
    </row>
    <row r="52" spans="2:64" ht="62" x14ac:dyDescent="0.35">
      <c r="B52" s="15"/>
      <c r="C52" s="23" t="s">
        <v>31</v>
      </c>
      <c r="D52" s="17">
        <f t="shared" ref="D52:I52" si="33">D30+D31+D33+D34+D35+D36+D37+D38+D39+D41+D42+D43+D45+D46+D47+D48+D50+D51</f>
        <v>15</v>
      </c>
      <c r="E52" s="17">
        <f t="shared" si="33"/>
        <v>15</v>
      </c>
      <c r="F52" s="17">
        <f t="shared" si="33"/>
        <v>15</v>
      </c>
      <c r="G52" s="17">
        <f t="shared" si="33"/>
        <v>11</v>
      </c>
      <c r="H52" s="17">
        <f t="shared" si="33"/>
        <v>13</v>
      </c>
      <c r="I52" s="17">
        <f t="shared" si="33"/>
        <v>15</v>
      </c>
      <c r="J52" s="17">
        <f t="shared" ref="J52:M52" si="34">J30+J31+J33+J34+J35+J36+J37+J38+J39+J41+J42+J43+J45+J46+J47+J48+J50+J51</f>
        <v>14</v>
      </c>
      <c r="K52" s="17">
        <f t="shared" si="34"/>
        <v>13</v>
      </c>
      <c r="L52" s="17">
        <f t="shared" si="34"/>
        <v>14</v>
      </c>
      <c r="M52" s="17">
        <f t="shared" si="34"/>
        <v>14</v>
      </c>
      <c r="N52" s="17">
        <f t="shared" ref="N52:O52" si="35">N30+N31+N33+N34+N35+N36+N37+N38+N39+N41+N42+N43+N45+N46+N47+N48+N50+N51</f>
        <v>14</v>
      </c>
      <c r="O52" s="17">
        <f t="shared" si="35"/>
        <v>16</v>
      </c>
      <c r="T52" s="12">
        <v>15</v>
      </c>
      <c r="U52" s="13" t="s">
        <v>46</v>
      </c>
      <c r="V52" s="12">
        <v>1</v>
      </c>
      <c r="W52" s="12">
        <v>1</v>
      </c>
      <c r="X52" s="12">
        <v>1</v>
      </c>
      <c r="Y52" s="12">
        <v>0</v>
      </c>
      <c r="Z52" s="12">
        <v>0</v>
      </c>
      <c r="AA52" s="12">
        <v>0</v>
      </c>
      <c r="AB52" s="12"/>
      <c r="AC52" s="12"/>
      <c r="AD52" s="12"/>
      <c r="AE52" s="12"/>
      <c r="AF52" s="12"/>
      <c r="AG52" s="12"/>
      <c r="AJ52" s="12">
        <v>15</v>
      </c>
      <c r="AK52" s="13" t="s">
        <v>46</v>
      </c>
      <c r="AL52" s="12">
        <v>1</v>
      </c>
      <c r="AM52" s="12">
        <v>1</v>
      </c>
      <c r="AN52" s="12">
        <v>1</v>
      </c>
      <c r="AO52" s="12">
        <v>1</v>
      </c>
      <c r="AP52" s="12">
        <v>1</v>
      </c>
      <c r="AQ52" s="12">
        <v>1</v>
      </c>
      <c r="AR52" s="12">
        <v>1</v>
      </c>
      <c r="AS52" s="12">
        <v>1</v>
      </c>
      <c r="AT52" s="12">
        <v>1</v>
      </c>
      <c r="AU52" s="12">
        <v>1</v>
      </c>
      <c r="AV52" s="12">
        <v>1</v>
      </c>
      <c r="AW52" s="12">
        <v>1</v>
      </c>
      <c r="AY52" s="12">
        <v>15</v>
      </c>
      <c r="AZ52" s="13" t="s">
        <v>46</v>
      </c>
      <c r="BA52" s="12">
        <v>1</v>
      </c>
      <c r="BB52" s="12">
        <v>1</v>
      </c>
      <c r="BC52" s="12">
        <v>1</v>
      </c>
      <c r="BD52" s="12">
        <v>1</v>
      </c>
      <c r="BE52" s="12">
        <v>1</v>
      </c>
      <c r="BF52" s="12">
        <v>1</v>
      </c>
      <c r="BG52" s="12">
        <v>1</v>
      </c>
      <c r="BH52" s="12">
        <v>1</v>
      </c>
      <c r="BI52" s="12">
        <v>1</v>
      </c>
      <c r="BJ52" s="12">
        <v>1</v>
      </c>
      <c r="BK52" s="12">
        <v>1</v>
      </c>
      <c r="BL52" s="12">
        <v>1</v>
      </c>
    </row>
    <row r="53" spans="2:64" ht="62" x14ac:dyDescent="0.35">
      <c r="B53" s="16" t="s">
        <v>32</v>
      </c>
      <c r="C53" s="17"/>
      <c r="D53" s="30">
        <f t="shared" ref="D53:I53" si="36">D52/18</f>
        <v>0.83333333333333337</v>
      </c>
      <c r="E53" s="30">
        <f t="shared" si="36"/>
        <v>0.83333333333333337</v>
      </c>
      <c r="F53" s="30">
        <f t="shared" si="36"/>
        <v>0.83333333333333337</v>
      </c>
      <c r="G53" s="30">
        <f t="shared" si="36"/>
        <v>0.61111111111111116</v>
      </c>
      <c r="H53" s="30">
        <f t="shared" si="36"/>
        <v>0.72222222222222221</v>
      </c>
      <c r="I53" s="30">
        <f t="shared" si="36"/>
        <v>0.83333333333333337</v>
      </c>
      <c r="J53" s="30">
        <f t="shared" ref="J53:M53" si="37">J52/18</f>
        <v>0.77777777777777779</v>
      </c>
      <c r="K53" s="30">
        <f t="shared" si="37"/>
        <v>0.72222222222222221</v>
      </c>
      <c r="L53" s="30">
        <f t="shared" si="37"/>
        <v>0.77777777777777779</v>
      </c>
      <c r="M53" s="30">
        <f t="shared" si="37"/>
        <v>0.77777777777777779</v>
      </c>
      <c r="N53" s="30">
        <f t="shared" ref="N53:O53" si="38">N52/18</f>
        <v>0.77777777777777779</v>
      </c>
      <c r="O53" s="30">
        <f t="shared" si="38"/>
        <v>0.88888888888888884</v>
      </c>
      <c r="T53" s="12">
        <v>16</v>
      </c>
      <c r="U53" s="13" t="s">
        <v>45</v>
      </c>
      <c r="V53" s="25">
        <v>0</v>
      </c>
      <c r="W53" s="25">
        <v>0</v>
      </c>
      <c r="X53" s="25">
        <v>0</v>
      </c>
      <c r="Y53" s="25">
        <v>0</v>
      </c>
      <c r="Z53" s="25">
        <v>0</v>
      </c>
      <c r="AA53" s="25">
        <v>0</v>
      </c>
      <c r="AB53" s="25"/>
      <c r="AC53" s="25"/>
      <c r="AD53" s="25"/>
      <c r="AE53" s="25"/>
      <c r="AF53" s="25"/>
      <c r="AG53" s="25"/>
      <c r="AJ53" s="12">
        <v>16</v>
      </c>
      <c r="AK53" s="13" t="s">
        <v>45</v>
      </c>
      <c r="AL53" s="25">
        <v>0</v>
      </c>
      <c r="AM53" s="25">
        <v>0</v>
      </c>
      <c r="AN53" s="25">
        <v>0</v>
      </c>
      <c r="AO53" s="25">
        <v>0</v>
      </c>
      <c r="AP53" s="25">
        <v>0</v>
      </c>
      <c r="AQ53" s="25">
        <v>0</v>
      </c>
      <c r="AR53" s="25">
        <v>0</v>
      </c>
      <c r="AS53" s="25">
        <v>0</v>
      </c>
      <c r="AT53" s="25">
        <v>0</v>
      </c>
      <c r="AU53" s="25">
        <v>0</v>
      </c>
      <c r="AV53" s="25">
        <v>0</v>
      </c>
      <c r="AW53" s="25">
        <v>0</v>
      </c>
      <c r="AY53" s="12">
        <v>16</v>
      </c>
      <c r="AZ53" s="13" t="s">
        <v>45</v>
      </c>
      <c r="BA53" s="25">
        <v>0</v>
      </c>
      <c r="BB53" s="25">
        <v>0</v>
      </c>
      <c r="BC53" s="25">
        <v>0</v>
      </c>
      <c r="BD53" s="25">
        <v>0</v>
      </c>
      <c r="BE53" s="25">
        <v>0</v>
      </c>
      <c r="BF53" s="25">
        <v>0</v>
      </c>
      <c r="BG53" s="25">
        <v>0</v>
      </c>
      <c r="BH53" s="25">
        <v>0</v>
      </c>
      <c r="BI53" s="25">
        <v>0</v>
      </c>
      <c r="BJ53" s="25">
        <v>0</v>
      </c>
      <c r="BK53" s="25">
        <v>0</v>
      </c>
      <c r="BL53" s="25">
        <v>0</v>
      </c>
    </row>
    <row r="54" spans="2:64" x14ac:dyDescent="0.35">
      <c r="T54" s="12"/>
      <c r="U54" s="23" t="s">
        <v>30</v>
      </c>
      <c r="V54" s="20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2"/>
      <c r="AJ54" s="12"/>
      <c r="AK54" s="23" t="s">
        <v>30</v>
      </c>
      <c r="AL54" s="20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2"/>
      <c r="AY54" s="12"/>
      <c r="AZ54" s="23" t="s">
        <v>30</v>
      </c>
      <c r="BA54" s="20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2"/>
    </row>
    <row r="55" spans="2:64" ht="62" x14ac:dyDescent="0.35">
      <c r="B55" s="62" t="s">
        <v>0</v>
      </c>
      <c r="C55" s="10" t="s">
        <v>25</v>
      </c>
      <c r="D55" s="57" t="s">
        <v>24</v>
      </c>
      <c r="E55" s="58"/>
      <c r="F55" s="59"/>
      <c r="G55" s="57" t="s">
        <v>51</v>
      </c>
      <c r="H55" s="58"/>
      <c r="I55" s="59"/>
      <c r="J55" s="57" t="s">
        <v>52</v>
      </c>
      <c r="K55" s="58"/>
      <c r="L55" s="59"/>
      <c r="M55" s="57" t="s">
        <v>55</v>
      </c>
      <c r="N55" s="58"/>
      <c r="O55" s="59"/>
      <c r="T55" s="12">
        <v>17</v>
      </c>
      <c r="U55" s="13" t="s">
        <v>47</v>
      </c>
      <c r="V55" s="24">
        <v>0</v>
      </c>
      <c r="W55" s="24">
        <v>0</v>
      </c>
      <c r="X55" s="24">
        <v>0</v>
      </c>
      <c r="Y55" s="24">
        <v>0</v>
      </c>
      <c r="Z55" s="24">
        <v>0</v>
      </c>
      <c r="AA55" s="24">
        <v>0</v>
      </c>
      <c r="AB55" s="24"/>
      <c r="AC55" s="24"/>
      <c r="AD55" s="24"/>
      <c r="AE55" s="24"/>
      <c r="AF55" s="24"/>
      <c r="AG55" s="24"/>
      <c r="AJ55" s="12">
        <v>17</v>
      </c>
      <c r="AK55" s="13" t="s">
        <v>47</v>
      </c>
      <c r="AL55" s="24">
        <v>0</v>
      </c>
      <c r="AM55" s="24">
        <v>0</v>
      </c>
      <c r="AN55" s="24">
        <v>0</v>
      </c>
      <c r="AO55" s="24">
        <v>0</v>
      </c>
      <c r="AP55" s="24">
        <v>0</v>
      </c>
      <c r="AQ55" s="24">
        <v>0</v>
      </c>
      <c r="AR55" s="24">
        <v>0</v>
      </c>
      <c r="AS55" s="24">
        <v>0</v>
      </c>
      <c r="AT55" s="24">
        <v>0</v>
      </c>
      <c r="AU55" s="24">
        <v>0</v>
      </c>
      <c r="AV55" s="24">
        <v>0</v>
      </c>
      <c r="AW55" s="24">
        <v>0</v>
      </c>
      <c r="AY55" s="12">
        <v>17</v>
      </c>
      <c r="AZ55" s="13" t="s">
        <v>47</v>
      </c>
      <c r="BA55" s="24">
        <v>0</v>
      </c>
      <c r="BB55" s="24">
        <v>0</v>
      </c>
      <c r="BC55" s="24">
        <v>0</v>
      </c>
      <c r="BD55" s="24">
        <v>0</v>
      </c>
      <c r="BE55" s="24">
        <v>0</v>
      </c>
      <c r="BF55" s="24">
        <v>0</v>
      </c>
      <c r="BG55" s="24">
        <v>0</v>
      </c>
      <c r="BH55" s="24">
        <v>0</v>
      </c>
      <c r="BI55" s="24">
        <v>0</v>
      </c>
      <c r="BJ55" s="24">
        <v>0</v>
      </c>
      <c r="BK55" s="24">
        <v>0</v>
      </c>
      <c r="BL55" s="24">
        <v>0</v>
      </c>
    </row>
    <row r="56" spans="2:64" ht="77.5" x14ac:dyDescent="0.35">
      <c r="B56" s="63"/>
      <c r="C56" s="11" t="s">
        <v>26</v>
      </c>
      <c r="D56" s="14">
        <v>2022</v>
      </c>
      <c r="E56" s="14">
        <v>2023</v>
      </c>
      <c r="F56" s="14">
        <v>2024</v>
      </c>
      <c r="G56" s="14">
        <v>2022</v>
      </c>
      <c r="H56" s="14">
        <v>2023</v>
      </c>
      <c r="I56" s="14">
        <v>2024</v>
      </c>
      <c r="J56" s="14">
        <v>2022</v>
      </c>
      <c r="K56" s="14">
        <v>2023</v>
      </c>
      <c r="L56" s="14">
        <v>2024</v>
      </c>
      <c r="M56" s="14">
        <v>2022</v>
      </c>
      <c r="N56" s="14">
        <v>2023</v>
      </c>
      <c r="O56" s="14">
        <v>2024</v>
      </c>
      <c r="T56" s="12">
        <v>18</v>
      </c>
      <c r="U56" s="13" t="s">
        <v>33</v>
      </c>
      <c r="V56" s="25">
        <v>0</v>
      </c>
      <c r="W56" s="25">
        <v>0</v>
      </c>
      <c r="X56" s="25">
        <v>0</v>
      </c>
      <c r="Y56" s="25">
        <v>0</v>
      </c>
      <c r="Z56" s="25">
        <v>0</v>
      </c>
      <c r="AA56" s="25">
        <v>0</v>
      </c>
      <c r="AB56" s="25"/>
      <c r="AC56" s="25"/>
      <c r="AD56" s="25"/>
      <c r="AE56" s="25"/>
      <c r="AF56" s="25"/>
      <c r="AG56" s="25"/>
      <c r="AJ56" s="12">
        <v>18</v>
      </c>
      <c r="AK56" s="13" t="s">
        <v>33</v>
      </c>
      <c r="AL56" s="25">
        <v>0</v>
      </c>
      <c r="AM56" s="25">
        <v>0</v>
      </c>
      <c r="AN56" s="25">
        <v>0</v>
      </c>
      <c r="AO56" s="25">
        <v>0</v>
      </c>
      <c r="AP56" s="25">
        <v>0</v>
      </c>
      <c r="AQ56" s="25">
        <v>0</v>
      </c>
      <c r="AR56" s="25">
        <v>0</v>
      </c>
      <c r="AS56" s="25">
        <v>0</v>
      </c>
      <c r="AT56" s="25">
        <v>0</v>
      </c>
      <c r="AU56" s="25">
        <v>0</v>
      </c>
      <c r="AV56" s="25">
        <v>0</v>
      </c>
      <c r="AW56" s="25">
        <v>0</v>
      </c>
      <c r="AY56" s="12">
        <v>18</v>
      </c>
      <c r="AZ56" s="13" t="s">
        <v>33</v>
      </c>
      <c r="BA56" s="25">
        <v>0</v>
      </c>
      <c r="BB56" s="25">
        <v>0</v>
      </c>
      <c r="BC56" s="25">
        <v>0</v>
      </c>
      <c r="BD56" s="25">
        <v>0</v>
      </c>
      <c r="BE56" s="25">
        <v>0</v>
      </c>
      <c r="BF56" s="25">
        <v>0</v>
      </c>
      <c r="BG56" s="25">
        <v>0</v>
      </c>
      <c r="BH56" s="25">
        <v>0</v>
      </c>
      <c r="BI56" s="25">
        <v>0</v>
      </c>
      <c r="BJ56" s="25">
        <v>0</v>
      </c>
      <c r="BK56" s="25">
        <v>0</v>
      </c>
      <c r="BL56" s="25">
        <v>0</v>
      </c>
    </row>
    <row r="57" spans="2:64" ht="77.5" x14ac:dyDescent="0.35">
      <c r="B57" s="12">
        <v>1</v>
      </c>
      <c r="C57" s="18" t="s">
        <v>53</v>
      </c>
      <c r="D57" s="12">
        <v>0</v>
      </c>
      <c r="E57" s="12">
        <v>0</v>
      </c>
      <c r="F57" s="12">
        <v>1</v>
      </c>
      <c r="G57" s="12">
        <v>1</v>
      </c>
      <c r="H57" s="12">
        <v>1</v>
      </c>
      <c r="I57" s="12">
        <v>1</v>
      </c>
      <c r="J57" s="12">
        <v>1</v>
      </c>
      <c r="K57" s="12">
        <v>1</v>
      </c>
      <c r="L57" s="12">
        <v>1</v>
      </c>
      <c r="M57" s="12">
        <v>1</v>
      </c>
      <c r="N57" s="12">
        <v>1</v>
      </c>
      <c r="O57" s="12">
        <v>1</v>
      </c>
      <c r="T57" s="15"/>
      <c r="U57" s="23" t="s">
        <v>31</v>
      </c>
      <c r="V57" s="17">
        <f t="shared" ref="V57:AF57" si="39">V35+V36+V38+V39+V40+V41+V42+V43+V44+V46+V47+V48+V50+V51+V52+V53+V55+V56</f>
        <v>10</v>
      </c>
      <c r="W57" s="17">
        <f t="shared" si="39"/>
        <v>11</v>
      </c>
      <c r="X57" s="17">
        <f t="shared" si="39"/>
        <v>12</v>
      </c>
      <c r="Y57" s="17">
        <f t="shared" si="39"/>
        <v>9</v>
      </c>
      <c r="Z57" s="17">
        <f t="shared" si="39"/>
        <v>9</v>
      </c>
      <c r="AA57" s="17">
        <f t="shared" si="39"/>
        <v>9</v>
      </c>
      <c r="AB57" s="17">
        <f t="shared" si="39"/>
        <v>0</v>
      </c>
      <c r="AC57" s="17">
        <f t="shared" si="39"/>
        <v>0</v>
      </c>
      <c r="AD57" s="17">
        <f t="shared" si="39"/>
        <v>0</v>
      </c>
      <c r="AE57" s="17">
        <f t="shared" si="39"/>
        <v>0</v>
      </c>
      <c r="AF57" s="17">
        <f t="shared" si="39"/>
        <v>0</v>
      </c>
      <c r="AG57" s="17">
        <f t="shared" ref="AG57" si="40">AG35+AG36+AG38+AG39+AG40+AG41+AG42+AG43+AG44+AG46+AG47+AG48+AG50+AG51+AG52+AG53+AG55+AG56</f>
        <v>0</v>
      </c>
      <c r="AJ57" s="15"/>
      <c r="AK57" s="37" t="s">
        <v>31</v>
      </c>
      <c r="AL57" s="17">
        <f t="shared" ref="AL57" si="41">AL35+AL36+AL38+AL39+AL40+AL41+AL42+AL43+AL44+AL46+AL47+AL48+AL50+AL51+AL52+AL53+AL55+AL56</f>
        <v>12</v>
      </c>
      <c r="AM57" s="17">
        <f t="shared" ref="AM57" si="42">AM35+AM36+AM38+AM39+AM40+AM41+AM42+AM43+AM44+AM46+AM47+AM48+AM50+AM51+AM52+AM53+AM55+AM56</f>
        <v>13</v>
      </c>
      <c r="AN57" s="17">
        <f t="shared" ref="AN57" si="43">AN35+AN36+AN38+AN39+AN40+AN41+AN42+AN43+AN44+AN46+AN47+AN48+AN50+AN51+AN52+AN53+AN55+AN56</f>
        <v>12</v>
      </c>
      <c r="AO57" s="17">
        <f t="shared" ref="AO57" si="44">AO35+AO36+AO38+AO39+AO40+AO41+AO42+AO43+AO44+AO46+AO47+AO48+AO50+AO51+AO52+AO53+AO55+AO56</f>
        <v>11</v>
      </c>
      <c r="AP57" s="17">
        <f t="shared" ref="AP57" si="45">AP35+AP36+AP38+AP39+AP40+AP41+AP42+AP43+AP44+AP46+AP47+AP48+AP50+AP51+AP52+AP53+AP55+AP56</f>
        <v>14</v>
      </c>
      <c r="AQ57" s="17">
        <f t="shared" ref="AQ57" si="46">AQ35+AQ36+AQ38+AQ39+AQ40+AQ41+AQ42+AQ43+AQ44+AQ46+AQ47+AQ48+AQ50+AQ51+AQ52+AQ53+AQ55+AQ56</f>
        <v>12</v>
      </c>
      <c r="AR57" s="17">
        <f t="shared" ref="AR57" si="47">AR35+AR36+AR38+AR39+AR40+AR41+AR42+AR43+AR44+AR46+AR47+AR48+AR50+AR51+AR52+AR53+AR55+AR56</f>
        <v>12</v>
      </c>
      <c r="AS57" s="17">
        <f t="shared" ref="AS57" si="48">AS35+AS36+AS38+AS39+AS40+AS41+AS42+AS43+AS44+AS46+AS47+AS48+AS50+AS51+AS52+AS53+AS55+AS56</f>
        <v>13</v>
      </c>
      <c r="AT57" s="17">
        <f t="shared" ref="AT57" si="49">AT35+AT36+AT38+AT39+AT40+AT41+AT42+AT43+AT44+AT46+AT47+AT48+AT50+AT51+AT52+AT53+AT55+AT56</f>
        <v>13</v>
      </c>
      <c r="AU57" s="17">
        <f t="shared" ref="AU57" si="50">AU35+AU36+AU38+AU39+AU40+AU41+AU42+AU43+AU44+AU46+AU47+AU48+AU50+AU51+AU52+AU53+AU55+AU56</f>
        <v>11</v>
      </c>
      <c r="AV57" s="17">
        <f t="shared" ref="AV57:AW57" si="51">AV35+AV36+AV38+AV39+AV40+AV41+AV42+AV43+AV44+AV46+AV47+AV48+AV50+AV51+AV52+AV53+AV55+AV56</f>
        <v>11</v>
      </c>
      <c r="AW57" s="17">
        <f t="shared" si="51"/>
        <v>11</v>
      </c>
      <c r="AY57" s="15"/>
      <c r="AZ57" s="37" t="s">
        <v>31</v>
      </c>
      <c r="BA57" s="17">
        <f t="shared" ref="BA57" si="52">BA35+BA36+BA38+BA39+BA40+BA41+BA42+BA43+BA44+BA46+BA47+BA48+BA50+BA51+BA52+BA53+BA55+BA56</f>
        <v>11</v>
      </c>
      <c r="BB57" s="17">
        <f t="shared" ref="BB57" si="53">BB35+BB36+BB38+BB39+BB40+BB41+BB42+BB43+BB44+BB46+BB47+BB48+BB50+BB51+BB52+BB53+BB55+BB56</f>
        <v>11</v>
      </c>
      <c r="BC57" s="17">
        <f t="shared" ref="BC57" si="54">BC35+BC36+BC38+BC39+BC40+BC41+BC42+BC43+BC44+BC46+BC47+BC48+BC50+BC51+BC52+BC53+BC55+BC56</f>
        <v>11</v>
      </c>
      <c r="BD57" s="17">
        <f>BD35+BD36+BD38+BD39+BD40+BD41+BD42+BD43+BD44+BD46+BD47+BD48+BD50+BD51+BD52+BD53+BD55+BD56</f>
        <v>13</v>
      </c>
      <c r="BE57" s="17">
        <f>BE35+BE36+BE38+BE39+BE40+BE41+BE42+BE43+BE44+BE46+BE47+BE48+BE50+BE51+BE52+BE53+BE55+BE56</f>
        <v>12</v>
      </c>
      <c r="BF57" s="17">
        <f t="shared" ref="BF57" si="55">BF35+BF36+BF38+BF39+BF40+BF41+BF42+BF43+BF44+BF46+BF47+BF48+BF50+BF51+BF52+BF53+BF55+BF56</f>
        <v>12</v>
      </c>
      <c r="BG57" s="17">
        <f t="shared" ref="BG57" si="56">BG35+BG36+BG38+BG39+BG40+BG41+BG42+BG43+BG44+BG46+BG47+BG48+BG50+BG51+BG52+BG53+BG55+BG56</f>
        <v>11</v>
      </c>
      <c r="BH57" s="17">
        <f t="shared" ref="BH57" si="57">BH35+BH36+BH38+BH39+BH40+BH41+BH42+BH43+BH44+BH46+BH47+BH48+BH50+BH51+BH52+BH53+BH55+BH56</f>
        <v>12</v>
      </c>
      <c r="BI57" s="17">
        <f t="shared" ref="BI57" si="58">BI35+BI36+BI38+BI39+BI40+BI41+BI42+BI43+BI44+BI46+BI47+BI48+BI50+BI51+BI52+BI53+BI55+BI56</f>
        <v>14</v>
      </c>
      <c r="BJ57" s="17">
        <f t="shared" ref="BJ57" si="59">BJ35+BJ36+BJ38+BJ39+BJ40+BJ41+BJ42+BJ43+BJ44+BJ46+BJ47+BJ48+BJ50+BJ51+BJ52+BJ53+BJ55+BJ56</f>
        <v>11</v>
      </c>
      <c r="BK57" s="17">
        <f t="shared" ref="BK57" si="60">BK35+BK36+BK38+BK39+BK40+BK41+BK42+BK43+BK44+BK46+BK47+BK48+BK50+BK51+BK52+BK53+BK55+BK56</f>
        <v>11</v>
      </c>
      <c r="BL57" s="17">
        <f t="shared" ref="BL57" si="61">BL35+BL36+BL38+BL39+BL40+BL41+BL42+BL43+BL44+BL46+BL47+BL48+BL50+BL51+BL52+BL53+BL55+BL56</f>
        <v>11</v>
      </c>
    </row>
    <row r="58" spans="2:64" ht="75" x14ac:dyDescent="0.35">
      <c r="B58" s="12">
        <v>2</v>
      </c>
      <c r="C58" s="13" t="s">
        <v>54</v>
      </c>
      <c r="D58" s="25">
        <v>1</v>
      </c>
      <c r="E58" s="25">
        <v>1</v>
      </c>
      <c r="F58" s="25">
        <v>1</v>
      </c>
      <c r="G58" s="25">
        <v>1</v>
      </c>
      <c r="H58" s="25">
        <v>1</v>
      </c>
      <c r="I58" s="25">
        <v>1</v>
      </c>
      <c r="J58" s="25">
        <v>0</v>
      </c>
      <c r="K58" s="25">
        <v>0</v>
      </c>
      <c r="L58" s="25">
        <v>1</v>
      </c>
      <c r="M58" s="25">
        <v>0</v>
      </c>
      <c r="N58" s="25">
        <v>1</v>
      </c>
      <c r="O58" s="25">
        <v>1</v>
      </c>
      <c r="T58" s="16" t="s">
        <v>32</v>
      </c>
      <c r="U58" s="17"/>
      <c r="V58" s="30">
        <f t="shared" ref="V58:AF58" si="62">V57/18</f>
        <v>0.55555555555555558</v>
      </c>
      <c r="W58" s="30">
        <f t="shared" si="62"/>
        <v>0.61111111111111116</v>
      </c>
      <c r="X58" s="30">
        <f t="shared" si="62"/>
        <v>0.66666666666666663</v>
      </c>
      <c r="Y58" s="30">
        <f t="shared" si="62"/>
        <v>0.5</v>
      </c>
      <c r="Z58" s="30">
        <f t="shared" si="62"/>
        <v>0.5</v>
      </c>
      <c r="AA58" s="30">
        <f t="shared" si="62"/>
        <v>0.5</v>
      </c>
      <c r="AB58" s="30">
        <f t="shared" si="62"/>
        <v>0</v>
      </c>
      <c r="AC58" s="30">
        <f t="shared" si="62"/>
        <v>0</v>
      </c>
      <c r="AD58" s="30">
        <f t="shared" si="62"/>
        <v>0</v>
      </c>
      <c r="AE58" s="30">
        <f t="shared" si="62"/>
        <v>0</v>
      </c>
      <c r="AF58" s="30">
        <f t="shared" si="62"/>
        <v>0</v>
      </c>
      <c r="AG58" s="30">
        <f t="shared" ref="AG58" si="63">AG57/18</f>
        <v>0</v>
      </c>
      <c r="AJ58" s="16" t="s">
        <v>32</v>
      </c>
      <c r="AK58" s="17"/>
      <c r="AL58" s="30">
        <f t="shared" ref="AL58" si="64">AL57/18</f>
        <v>0.66666666666666663</v>
      </c>
      <c r="AM58" s="30">
        <f t="shared" ref="AM58" si="65">AM57/18</f>
        <v>0.72222222222222221</v>
      </c>
      <c r="AN58" s="30">
        <f t="shared" ref="AN58" si="66">AN57/18</f>
        <v>0.66666666666666663</v>
      </c>
      <c r="AO58" s="30">
        <f t="shared" ref="AO58" si="67">AO57/18</f>
        <v>0.61111111111111116</v>
      </c>
      <c r="AP58" s="30">
        <f t="shared" ref="AP58" si="68">AP57/18</f>
        <v>0.77777777777777779</v>
      </c>
      <c r="AQ58" s="30">
        <f t="shared" ref="AQ58" si="69">AQ57/18</f>
        <v>0.66666666666666663</v>
      </c>
      <c r="AR58" s="30">
        <f t="shared" ref="AR58" si="70">AR57/18</f>
        <v>0.66666666666666663</v>
      </c>
      <c r="AS58" s="30">
        <f t="shared" ref="AS58" si="71">AS57/18</f>
        <v>0.72222222222222221</v>
      </c>
      <c r="AT58" s="30">
        <f t="shared" ref="AT58" si="72">AT57/18</f>
        <v>0.72222222222222221</v>
      </c>
      <c r="AU58" s="30">
        <f t="shared" ref="AU58" si="73">AU57/18</f>
        <v>0.61111111111111116</v>
      </c>
      <c r="AV58" s="30">
        <f t="shared" ref="AV58:AW58" si="74">AV57/18</f>
        <v>0.61111111111111116</v>
      </c>
      <c r="AW58" s="30">
        <f t="shared" si="74"/>
        <v>0.61111111111111116</v>
      </c>
      <c r="AY58" s="16" t="s">
        <v>32</v>
      </c>
      <c r="AZ58" s="17"/>
      <c r="BA58" s="30">
        <f t="shared" ref="BA58" si="75">BA57/18</f>
        <v>0.61111111111111116</v>
      </c>
      <c r="BB58" s="30">
        <f t="shared" ref="BB58" si="76">BB57/18</f>
        <v>0.61111111111111116</v>
      </c>
      <c r="BC58" s="30">
        <f t="shared" ref="BC58" si="77">BC57/18</f>
        <v>0.61111111111111116</v>
      </c>
      <c r="BD58" s="30">
        <f>BD57/18</f>
        <v>0.72222222222222221</v>
      </c>
      <c r="BE58" s="30">
        <f t="shared" ref="BE58" si="78">BE57/18</f>
        <v>0.66666666666666663</v>
      </c>
      <c r="BF58" s="30">
        <f t="shared" ref="BF58" si="79">BF57/18</f>
        <v>0.66666666666666663</v>
      </c>
      <c r="BG58" s="30">
        <f t="shared" ref="BG58" si="80">BG57/18</f>
        <v>0.61111111111111116</v>
      </c>
      <c r="BH58" s="30">
        <f t="shared" ref="BH58" si="81">BH57/18</f>
        <v>0.66666666666666663</v>
      </c>
      <c r="BI58" s="30">
        <f t="shared" ref="BI58" si="82">BI57/18</f>
        <v>0.77777777777777779</v>
      </c>
      <c r="BJ58" s="30">
        <f t="shared" ref="BJ58" si="83">BJ57/18</f>
        <v>0.61111111111111116</v>
      </c>
      <c r="BK58" s="30">
        <f t="shared" ref="BK58" si="84">BK57/18</f>
        <v>0.61111111111111116</v>
      </c>
      <c r="BL58" s="30">
        <f t="shared" ref="BL58" si="85">BL57/18</f>
        <v>0.61111111111111116</v>
      </c>
    </row>
    <row r="59" spans="2:64" ht="30.5" x14ac:dyDescent="0.35">
      <c r="B59" s="12"/>
      <c r="C59" s="19" t="s">
        <v>27</v>
      </c>
      <c r="D59" s="20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2"/>
    </row>
    <row r="60" spans="2:64" ht="29" customHeight="1" x14ac:dyDescent="0.35">
      <c r="B60" s="12">
        <v>3</v>
      </c>
      <c r="C60" s="13" t="s">
        <v>48</v>
      </c>
      <c r="D60" s="24">
        <v>1</v>
      </c>
      <c r="E60" s="24">
        <v>0</v>
      </c>
      <c r="F60" s="24">
        <v>1</v>
      </c>
      <c r="G60" s="24">
        <v>0</v>
      </c>
      <c r="H60" s="24">
        <v>0</v>
      </c>
      <c r="I60" s="24">
        <v>1</v>
      </c>
      <c r="J60" s="24">
        <v>0</v>
      </c>
      <c r="K60" s="24">
        <v>0</v>
      </c>
      <c r="L60" s="24">
        <v>0</v>
      </c>
      <c r="M60" s="24">
        <v>0</v>
      </c>
      <c r="N60" s="24">
        <v>0</v>
      </c>
      <c r="O60" s="24">
        <v>0</v>
      </c>
      <c r="Y60" s="50" t="s">
        <v>143</v>
      </c>
      <c r="AY60" s="35" t="s">
        <v>0</v>
      </c>
      <c r="AZ60" s="10" t="s">
        <v>25</v>
      </c>
      <c r="BA60" s="57" t="s">
        <v>99</v>
      </c>
      <c r="BB60" s="58"/>
      <c r="BC60" s="59"/>
      <c r="BD60" s="57" t="s">
        <v>100</v>
      </c>
      <c r="BE60" s="58"/>
      <c r="BF60" s="59"/>
      <c r="BG60" s="57" t="s">
        <v>162</v>
      </c>
      <c r="BH60" s="58"/>
      <c r="BI60" s="59"/>
      <c r="BJ60" s="57" t="s">
        <v>163</v>
      </c>
      <c r="BK60" s="58"/>
      <c r="BL60" s="59"/>
    </row>
    <row r="61" spans="2:64" ht="36" customHeight="1" x14ac:dyDescent="0.35">
      <c r="B61" s="12">
        <v>4</v>
      </c>
      <c r="C61" s="13" t="s">
        <v>35</v>
      </c>
      <c r="D61" s="12">
        <v>1</v>
      </c>
      <c r="E61" s="12">
        <v>0</v>
      </c>
      <c r="F61" s="12">
        <v>1</v>
      </c>
      <c r="G61" s="12">
        <v>1</v>
      </c>
      <c r="H61" s="12">
        <v>1</v>
      </c>
      <c r="I61" s="12">
        <v>1</v>
      </c>
      <c r="J61" s="12">
        <v>0</v>
      </c>
      <c r="K61" s="12">
        <v>0</v>
      </c>
      <c r="L61" s="12">
        <v>0</v>
      </c>
      <c r="M61" s="12">
        <v>1</v>
      </c>
      <c r="N61" s="12">
        <v>1</v>
      </c>
      <c r="O61" s="12">
        <v>1</v>
      </c>
      <c r="AK61" s="51" t="s">
        <v>152</v>
      </c>
      <c r="AY61" s="36"/>
      <c r="AZ61" s="11" t="s">
        <v>26</v>
      </c>
      <c r="BA61" s="14">
        <v>2022</v>
      </c>
      <c r="BB61" s="14">
        <v>2023</v>
      </c>
      <c r="BC61" s="14">
        <v>2024</v>
      </c>
      <c r="BD61" s="14">
        <v>2022</v>
      </c>
      <c r="BE61" s="14">
        <v>2023</v>
      </c>
      <c r="BF61" s="14">
        <v>2024</v>
      </c>
      <c r="BG61" s="14">
        <v>2022</v>
      </c>
      <c r="BH61" s="14">
        <v>2023</v>
      </c>
      <c r="BI61" s="14">
        <v>2024</v>
      </c>
      <c r="BJ61" s="14">
        <v>2022</v>
      </c>
      <c r="BK61" s="14">
        <v>2023</v>
      </c>
      <c r="BL61" s="14">
        <v>2024</v>
      </c>
    </row>
    <row r="62" spans="2:64" ht="46.5" x14ac:dyDescent="0.35">
      <c r="B62" s="12">
        <v>5</v>
      </c>
      <c r="C62" s="13" t="s">
        <v>36</v>
      </c>
      <c r="D62" s="12">
        <v>1</v>
      </c>
      <c r="E62" s="12">
        <v>1</v>
      </c>
      <c r="F62" s="12">
        <v>1</v>
      </c>
      <c r="G62" s="12">
        <v>1</v>
      </c>
      <c r="H62" s="12">
        <v>1</v>
      </c>
      <c r="I62" s="12">
        <v>1</v>
      </c>
      <c r="J62" s="12">
        <v>1</v>
      </c>
      <c r="K62" s="12">
        <v>1</v>
      </c>
      <c r="L62" s="12">
        <v>1</v>
      </c>
      <c r="M62" s="12">
        <v>1</v>
      </c>
      <c r="N62" s="12">
        <v>1</v>
      </c>
      <c r="O62" s="12">
        <v>1</v>
      </c>
      <c r="T62" s="35" t="s">
        <v>0</v>
      </c>
      <c r="U62" s="10" t="s">
        <v>25</v>
      </c>
      <c r="V62" s="57" t="s">
        <v>117</v>
      </c>
      <c r="W62" s="58"/>
      <c r="X62" s="59"/>
      <c r="Y62" s="57" t="s">
        <v>118</v>
      </c>
      <c r="Z62" s="58"/>
      <c r="AA62" s="59"/>
      <c r="AB62" s="57" t="s">
        <v>119</v>
      </c>
      <c r="AC62" s="58"/>
      <c r="AD62" s="59"/>
      <c r="AE62" s="57" t="s">
        <v>120</v>
      </c>
      <c r="AF62" s="58"/>
      <c r="AG62" s="59"/>
      <c r="AJ62" s="35" t="s">
        <v>0</v>
      </c>
      <c r="AK62" s="10" t="s">
        <v>25</v>
      </c>
      <c r="AL62" s="57" t="s">
        <v>84</v>
      </c>
      <c r="AM62" s="58"/>
      <c r="AN62" s="59"/>
      <c r="AO62" s="57" t="s">
        <v>85</v>
      </c>
      <c r="AP62" s="58"/>
      <c r="AQ62" s="59"/>
      <c r="AR62" s="57" t="s">
        <v>86</v>
      </c>
      <c r="AS62" s="58"/>
      <c r="AT62" s="59"/>
      <c r="AU62" s="57" t="s">
        <v>138</v>
      </c>
      <c r="AV62" s="58"/>
      <c r="AW62" s="59"/>
      <c r="AY62" s="12">
        <v>1</v>
      </c>
      <c r="AZ62" s="18" t="s">
        <v>49</v>
      </c>
      <c r="BA62" s="12">
        <v>1</v>
      </c>
      <c r="BB62" s="12">
        <v>1</v>
      </c>
      <c r="BC62" s="12">
        <v>1</v>
      </c>
      <c r="BD62" s="12">
        <v>1</v>
      </c>
      <c r="BE62" s="12">
        <v>1</v>
      </c>
      <c r="BF62" s="12">
        <v>1</v>
      </c>
      <c r="BG62" s="12">
        <v>1</v>
      </c>
      <c r="BH62" s="12">
        <v>1</v>
      </c>
      <c r="BI62" s="12">
        <v>1</v>
      </c>
      <c r="BJ62" s="12">
        <v>1</v>
      </c>
      <c r="BK62" s="12">
        <v>1</v>
      </c>
      <c r="BL62" s="12">
        <v>1</v>
      </c>
    </row>
    <row r="63" spans="2:64" ht="31" x14ac:dyDescent="0.35">
      <c r="B63" s="12">
        <v>6</v>
      </c>
      <c r="C63" s="13" t="s">
        <v>37</v>
      </c>
      <c r="D63" s="12">
        <v>1</v>
      </c>
      <c r="E63" s="12">
        <v>1</v>
      </c>
      <c r="F63" s="12">
        <v>1</v>
      </c>
      <c r="G63" s="12">
        <v>1</v>
      </c>
      <c r="H63" s="12">
        <v>1</v>
      </c>
      <c r="I63" s="12">
        <v>1</v>
      </c>
      <c r="J63" s="12">
        <v>1</v>
      </c>
      <c r="K63" s="12">
        <v>1</v>
      </c>
      <c r="L63" s="12">
        <v>1</v>
      </c>
      <c r="M63" s="12">
        <v>1</v>
      </c>
      <c r="N63" s="12">
        <v>1</v>
      </c>
      <c r="O63" s="12">
        <v>1</v>
      </c>
      <c r="T63" s="36"/>
      <c r="U63" s="11" t="s">
        <v>26</v>
      </c>
      <c r="V63" s="14">
        <v>2022</v>
      </c>
      <c r="W63" s="14">
        <v>2023</v>
      </c>
      <c r="X63" s="14">
        <v>2024</v>
      </c>
      <c r="Y63" s="14">
        <v>2022</v>
      </c>
      <c r="Z63" s="14">
        <v>2023</v>
      </c>
      <c r="AA63" s="14">
        <v>2024</v>
      </c>
      <c r="AB63" s="14">
        <v>2022</v>
      </c>
      <c r="AC63" s="14">
        <v>2023</v>
      </c>
      <c r="AD63" s="14">
        <v>2024</v>
      </c>
      <c r="AE63" s="14">
        <v>2022</v>
      </c>
      <c r="AF63" s="14">
        <v>2023</v>
      </c>
      <c r="AG63" s="14">
        <v>2024</v>
      </c>
      <c r="AJ63" s="36"/>
      <c r="AK63" s="11" t="s">
        <v>26</v>
      </c>
      <c r="AL63" s="14">
        <v>2022</v>
      </c>
      <c r="AM63" s="14">
        <v>2023</v>
      </c>
      <c r="AN63" s="14">
        <v>2024</v>
      </c>
      <c r="AO63" s="14">
        <v>2022</v>
      </c>
      <c r="AP63" s="14">
        <v>2023</v>
      </c>
      <c r="AQ63" s="14">
        <v>2024</v>
      </c>
      <c r="AR63" s="14">
        <v>2022</v>
      </c>
      <c r="AS63" s="14">
        <v>2023</v>
      </c>
      <c r="AT63" s="14">
        <v>2024</v>
      </c>
      <c r="AU63" s="14">
        <v>2022</v>
      </c>
      <c r="AV63" s="14">
        <v>2023</v>
      </c>
      <c r="AW63" s="14">
        <v>2024</v>
      </c>
      <c r="AY63" s="12">
        <v>2</v>
      </c>
      <c r="AZ63" s="13" t="s">
        <v>34</v>
      </c>
      <c r="BA63" s="25">
        <v>0</v>
      </c>
      <c r="BB63" s="25">
        <v>0</v>
      </c>
      <c r="BC63" s="25">
        <v>0</v>
      </c>
      <c r="BD63" s="25">
        <v>0</v>
      </c>
      <c r="BE63" s="25">
        <v>0</v>
      </c>
      <c r="BF63" s="25">
        <v>0</v>
      </c>
      <c r="BG63" s="25">
        <v>0</v>
      </c>
      <c r="BH63" s="25">
        <v>0</v>
      </c>
      <c r="BI63" s="25">
        <v>0</v>
      </c>
      <c r="BJ63" s="25">
        <v>0</v>
      </c>
      <c r="BK63" s="25">
        <v>0</v>
      </c>
      <c r="BL63" s="25">
        <v>0</v>
      </c>
    </row>
    <row r="64" spans="2:64" ht="62.5" customHeight="1" x14ac:dyDescent="0.35">
      <c r="B64" s="12">
        <v>7</v>
      </c>
      <c r="C64" s="13" t="s">
        <v>38</v>
      </c>
      <c r="D64" s="12">
        <v>1</v>
      </c>
      <c r="E64" s="12">
        <v>1</v>
      </c>
      <c r="F64" s="12">
        <v>1</v>
      </c>
      <c r="G64" s="12">
        <v>1</v>
      </c>
      <c r="H64" s="12">
        <v>1</v>
      </c>
      <c r="I64" s="12">
        <v>1</v>
      </c>
      <c r="J64" s="12">
        <v>1</v>
      </c>
      <c r="K64" s="12">
        <v>1</v>
      </c>
      <c r="L64" s="12">
        <v>1</v>
      </c>
      <c r="M64" s="12">
        <v>1</v>
      </c>
      <c r="N64" s="12">
        <v>1</v>
      </c>
      <c r="O64" s="12">
        <v>1</v>
      </c>
      <c r="T64" s="12">
        <v>1</v>
      </c>
      <c r="U64" s="18" t="s">
        <v>49</v>
      </c>
      <c r="V64" s="12">
        <v>0</v>
      </c>
      <c r="W64" s="12">
        <v>0</v>
      </c>
      <c r="X64" s="12">
        <v>0</v>
      </c>
      <c r="Y64" s="12">
        <v>0</v>
      </c>
      <c r="Z64" s="12">
        <v>1</v>
      </c>
      <c r="AA64" s="12">
        <v>1</v>
      </c>
      <c r="AB64" s="12">
        <v>0</v>
      </c>
      <c r="AC64" s="12">
        <v>0</v>
      </c>
      <c r="AD64" s="12">
        <v>1</v>
      </c>
      <c r="AE64" s="12">
        <v>1</v>
      </c>
      <c r="AF64" s="12">
        <v>1</v>
      </c>
      <c r="AG64" s="12">
        <v>1</v>
      </c>
      <c r="AJ64" s="12">
        <v>1</v>
      </c>
      <c r="AK64" s="18" t="s">
        <v>49</v>
      </c>
      <c r="AL64" s="12">
        <v>1</v>
      </c>
      <c r="AM64" s="12">
        <v>1</v>
      </c>
      <c r="AN64" s="12">
        <v>1</v>
      </c>
      <c r="AO64" s="12">
        <v>0</v>
      </c>
      <c r="AP64" s="12">
        <v>0</v>
      </c>
      <c r="AQ64" s="12">
        <v>0</v>
      </c>
      <c r="AR64" s="12">
        <v>0</v>
      </c>
      <c r="AS64" s="12">
        <v>0</v>
      </c>
      <c r="AT64" s="12">
        <v>0</v>
      </c>
      <c r="AU64" s="12">
        <v>0</v>
      </c>
      <c r="AV64" s="12">
        <v>0</v>
      </c>
      <c r="AW64" s="12">
        <v>0</v>
      </c>
      <c r="AY64" s="12"/>
      <c r="AZ64" s="19" t="s">
        <v>27</v>
      </c>
      <c r="BA64" s="20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2"/>
    </row>
    <row r="65" spans="2:64" ht="46.5" x14ac:dyDescent="0.35">
      <c r="B65" s="12">
        <v>8</v>
      </c>
      <c r="C65" s="13" t="s">
        <v>39</v>
      </c>
      <c r="D65" s="12">
        <v>1</v>
      </c>
      <c r="E65" s="12">
        <v>1</v>
      </c>
      <c r="F65" s="12">
        <v>1</v>
      </c>
      <c r="G65" s="12">
        <v>1</v>
      </c>
      <c r="H65" s="12">
        <v>1</v>
      </c>
      <c r="I65" s="12">
        <v>1</v>
      </c>
      <c r="J65" s="12">
        <v>1</v>
      </c>
      <c r="K65" s="12">
        <v>1</v>
      </c>
      <c r="L65" s="12">
        <v>1</v>
      </c>
      <c r="M65" s="12">
        <v>1</v>
      </c>
      <c r="N65" s="12">
        <v>1</v>
      </c>
      <c r="O65" s="12">
        <v>1</v>
      </c>
      <c r="T65" s="12">
        <v>2</v>
      </c>
      <c r="U65" s="13" t="s">
        <v>34</v>
      </c>
      <c r="V65" s="25">
        <v>0</v>
      </c>
      <c r="W65" s="25">
        <v>0</v>
      </c>
      <c r="X65" s="25">
        <v>0</v>
      </c>
      <c r="Y65" s="25">
        <v>0</v>
      </c>
      <c r="Z65" s="25">
        <v>0</v>
      </c>
      <c r="AA65" s="25">
        <v>0</v>
      </c>
      <c r="AB65" s="25">
        <v>0</v>
      </c>
      <c r="AC65" s="25">
        <v>0</v>
      </c>
      <c r="AD65" s="25">
        <v>0</v>
      </c>
      <c r="AE65" s="25">
        <v>1</v>
      </c>
      <c r="AF65" s="25">
        <v>1</v>
      </c>
      <c r="AG65" s="25">
        <v>1</v>
      </c>
      <c r="AJ65" s="12">
        <v>2</v>
      </c>
      <c r="AK65" s="13" t="s">
        <v>34</v>
      </c>
      <c r="AL65" s="25">
        <v>0</v>
      </c>
      <c r="AM65" s="25">
        <v>0</v>
      </c>
      <c r="AN65" s="25">
        <v>0</v>
      </c>
      <c r="AO65" s="25">
        <v>0</v>
      </c>
      <c r="AP65" s="25">
        <v>0</v>
      </c>
      <c r="AQ65" s="25">
        <v>0</v>
      </c>
      <c r="AR65" s="25">
        <v>0</v>
      </c>
      <c r="AS65" s="25">
        <v>0</v>
      </c>
      <c r="AT65" s="25">
        <v>0</v>
      </c>
      <c r="AU65" s="25">
        <v>0</v>
      </c>
      <c r="AV65" s="25">
        <v>0</v>
      </c>
      <c r="AW65" s="25">
        <v>0</v>
      </c>
      <c r="AY65" s="12">
        <v>3</v>
      </c>
      <c r="AZ65" s="13" t="s">
        <v>48</v>
      </c>
      <c r="BA65" s="24">
        <v>1</v>
      </c>
      <c r="BB65" s="24">
        <v>1</v>
      </c>
      <c r="BC65" s="24">
        <v>1</v>
      </c>
      <c r="BD65" s="24">
        <v>1</v>
      </c>
      <c r="BE65" s="24">
        <v>1</v>
      </c>
      <c r="BF65" s="24">
        <v>1</v>
      </c>
      <c r="BG65" s="24">
        <v>1</v>
      </c>
      <c r="BH65" s="24">
        <v>1</v>
      </c>
      <c r="BI65" s="24">
        <v>1</v>
      </c>
      <c r="BJ65" s="24">
        <v>1</v>
      </c>
      <c r="BK65" s="24">
        <v>1</v>
      </c>
      <c r="BL65" s="24">
        <v>1</v>
      </c>
    </row>
    <row r="66" spans="2:64" ht="31" x14ac:dyDescent="0.35">
      <c r="B66" s="12">
        <v>9</v>
      </c>
      <c r="C66" s="13" t="s">
        <v>40</v>
      </c>
      <c r="D66" s="25">
        <v>1</v>
      </c>
      <c r="E66" s="25">
        <v>1</v>
      </c>
      <c r="F66" s="25">
        <v>1</v>
      </c>
      <c r="G66" s="25">
        <v>1</v>
      </c>
      <c r="H66" s="25">
        <v>1</v>
      </c>
      <c r="I66" s="25">
        <v>1</v>
      </c>
      <c r="J66" s="25">
        <v>1</v>
      </c>
      <c r="K66" s="25">
        <v>1</v>
      </c>
      <c r="L66" s="25">
        <v>1</v>
      </c>
      <c r="M66" s="25">
        <v>1</v>
      </c>
      <c r="N66" s="25">
        <v>1</v>
      </c>
      <c r="O66" s="25">
        <v>1</v>
      </c>
      <c r="T66" s="12"/>
      <c r="U66" s="19" t="s">
        <v>27</v>
      </c>
      <c r="V66" s="20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2"/>
      <c r="AJ66" s="12"/>
      <c r="AK66" s="19" t="s">
        <v>27</v>
      </c>
      <c r="AL66" s="20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2"/>
      <c r="AY66" s="12">
        <v>4</v>
      </c>
      <c r="AZ66" s="13" t="s">
        <v>35</v>
      </c>
      <c r="BA66" s="12">
        <v>1</v>
      </c>
      <c r="BB66" s="12">
        <v>1</v>
      </c>
      <c r="BC66" s="12">
        <v>1</v>
      </c>
      <c r="BD66" s="12">
        <v>1</v>
      </c>
      <c r="BE66" s="12">
        <v>1</v>
      </c>
      <c r="BF66" s="12">
        <v>1</v>
      </c>
      <c r="BG66" s="12">
        <v>0</v>
      </c>
      <c r="BH66" s="12">
        <v>0</v>
      </c>
      <c r="BI66" s="12">
        <v>0</v>
      </c>
      <c r="BJ66" s="12">
        <v>1</v>
      </c>
      <c r="BK66" s="12">
        <v>1</v>
      </c>
      <c r="BL66" s="12">
        <v>1</v>
      </c>
    </row>
    <row r="67" spans="2:64" ht="62" x14ac:dyDescent="0.35">
      <c r="B67" s="12"/>
      <c r="C67" s="23" t="s">
        <v>28</v>
      </c>
      <c r="D67" s="20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2"/>
      <c r="T67" s="12">
        <v>3</v>
      </c>
      <c r="U67" s="13" t="s">
        <v>48</v>
      </c>
      <c r="V67" s="24">
        <v>1</v>
      </c>
      <c r="W67" s="24">
        <v>1</v>
      </c>
      <c r="X67" s="24">
        <v>1</v>
      </c>
      <c r="Y67" s="24">
        <v>1</v>
      </c>
      <c r="Z67" s="24">
        <v>1</v>
      </c>
      <c r="AA67" s="24">
        <v>1</v>
      </c>
      <c r="AB67" s="24">
        <v>1</v>
      </c>
      <c r="AC67" s="24">
        <v>1</v>
      </c>
      <c r="AD67" s="24">
        <v>1</v>
      </c>
      <c r="AE67" s="24">
        <v>1</v>
      </c>
      <c r="AF67" s="24">
        <v>1</v>
      </c>
      <c r="AG67" s="24">
        <v>1</v>
      </c>
      <c r="AJ67" s="12">
        <v>3</v>
      </c>
      <c r="AK67" s="13" t="s">
        <v>48</v>
      </c>
      <c r="AL67" s="24">
        <v>1</v>
      </c>
      <c r="AM67" s="24">
        <v>1</v>
      </c>
      <c r="AN67" s="24">
        <v>1</v>
      </c>
      <c r="AO67" s="24">
        <v>1</v>
      </c>
      <c r="AP67" s="24">
        <v>1</v>
      </c>
      <c r="AQ67" s="24">
        <v>1</v>
      </c>
      <c r="AR67" s="24">
        <v>1</v>
      </c>
      <c r="AS67" s="24">
        <v>1</v>
      </c>
      <c r="AT67" s="24">
        <v>1</v>
      </c>
      <c r="AU67" s="24">
        <v>1</v>
      </c>
      <c r="AV67" s="24">
        <v>1</v>
      </c>
      <c r="AW67" s="24">
        <v>1</v>
      </c>
      <c r="AY67" s="12">
        <v>5</v>
      </c>
      <c r="AZ67" s="13" t="s">
        <v>36</v>
      </c>
      <c r="BA67" s="12">
        <v>1</v>
      </c>
      <c r="BB67" s="12">
        <v>1</v>
      </c>
      <c r="BC67" s="12">
        <v>1</v>
      </c>
      <c r="BD67" s="12">
        <v>1</v>
      </c>
      <c r="BE67" s="12">
        <v>1</v>
      </c>
      <c r="BF67" s="12">
        <v>1</v>
      </c>
      <c r="BG67" s="12">
        <v>1</v>
      </c>
      <c r="BH67" s="12">
        <v>1</v>
      </c>
      <c r="BI67" s="12">
        <v>1</v>
      </c>
      <c r="BJ67" s="12">
        <v>1</v>
      </c>
      <c r="BK67" s="12">
        <v>1</v>
      </c>
      <c r="BL67" s="12">
        <v>1</v>
      </c>
    </row>
    <row r="68" spans="2:64" ht="62" x14ac:dyDescent="0.35">
      <c r="B68" s="12">
        <v>10</v>
      </c>
      <c r="C68" s="13" t="s">
        <v>41</v>
      </c>
      <c r="D68" s="24">
        <v>1</v>
      </c>
      <c r="E68" s="24">
        <v>1</v>
      </c>
      <c r="F68" s="24">
        <v>1</v>
      </c>
      <c r="G68" s="24">
        <v>1</v>
      </c>
      <c r="H68" s="24">
        <v>1</v>
      </c>
      <c r="I68" s="24">
        <v>1</v>
      </c>
      <c r="J68" s="24">
        <v>1</v>
      </c>
      <c r="K68" s="24">
        <v>1</v>
      </c>
      <c r="L68" s="24">
        <v>1</v>
      </c>
      <c r="M68" s="24">
        <v>1</v>
      </c>
      <c r="N68" s="24">
        <v>1</v>
      </c>
      <c r="O68" s="24">
        <v>1</v>
      </c>
      <c r="T68" s="12">
        <v>4</v>
      </c>
      <c r="U68" s="13" t="s">
        <v>35</v>
      </c>
      <c r="V68" s="12">
        <v>0</v>
      </c>
      <c r="W68" s="12">
        <v>0</v>
      </c>
      <c r="X68" s="12">
        <v>0</v>
      </c>
      <c r="Y68" s="12">
        <v>0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1</v>
      </c>
      <c r="AF68" s="12">
        <v>1</v>
      </c>
      <c r="AG68" s="12">
        <v>1</v>
      </c>
      <c r="AJ68" s="12">
        <v>4</v>
      </c>
      <c r="AK68" s="13" t="s">
        <v>35</v>
      </c>
      <c r="AL68" s="12">
        <v>0</v>
      </c>
      <c r="AM68" s="12">
        <v>0</v>
      </c>
      <c r="AN68" s="12">
        <v>0</v>
      </c>
      <c r="AO68" s="12">
        <v>0</v>
      </c>
      <c r="AP68" s="12">
        <v>0</v>
      </c>
      <c r="AQ68" s="12">
        <v>0</v>
      </c>
      <c r="AR68" s="12">
        <v>0</v>
      </c>
      <c r="AS68" s="12">
        <v>0</v>
      </c>
      <c r="AT68" s="12">
        <v>0</v>
      </c>
      <c r="AU68" s="12">
        <v>0</v>
      </c>
      <c r="AV68" s="12">
        <v>0</v>
      </c>
      <c r="AW68" s="12">
        <v>0</v>
      </c>
      <c r="AY68" s="12">
        <v>6</v>
      </c>
      <c r="AZ68" s="13" t="s">
        <v>37</v>
      </c>
      <c r="BA68" s="12">
        <v>1</v>
      </c>
      <c r="BB68" s="12">
        <v>1</v>
      </c>
      <c r="BC68" s="12">
        <v>1</v>
      </c>
      <c r="BD68" s="12">
        <v>1</v>
      </c>
      <c r="BE68" s="12">
        <v>1</v>
      </c>
      <c r="BF68" s="12">
        <v>1</v>
      </c>
      <c r="BG68" s="12">
        <v>1</v>
      </c>
      <c r="BH68" s="12">
        <v>1</v>
      </c>
      <c r="BI68" s="12">
        <v>1</v>
      </c>
      <c r="BJ68" s="12">
        <v>1</v>
      </c>
      <c r="BK68" s="12">
        <v>1</v>
      </c>
      <c r="BL68" s="12">
        <v>1</v>
      </c>
    </row>
    <row r="69" spans="2:64" ht="31" x14ac:dyDescent="0.35">
      <c r="B69" s="12">
        <v>11</v>
      </c>
      <c r="C69" s="13" t="s">
        <v>50</v>
      </c>
      <c r="D69" s="12">
        <v>0</v>
      </c>
      <c r="E69" s="12">
        <v>0</v>
      </c>
      <c r="F69" s="12">
        <v>1</v>
      </c>
      <c r="G69" s="12">
        <v>0</v>
      </c>
      <c r="H69" s="12">
        <v>1</v>
      </c>
      <c r="I69" s="12">
        <v>1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T69" s="12">
        <v>5</v>
      </c>
      <c r="U69" s="13" t="s">
        <v>36</v>
      </c>
      <c r="V69" s="12">
        <v>1</v>
      </c>
      <c r="W69" s="12">
        <v>1</v>
      </c>
      <c r="X69" s="12">
        <v>1</v>
      </c>
      <c r="Y69" s="12">
        <v>1</v>
      </c>
      <c r="Z69" s="12">
        <v>1</v>
      </c>
      <c r="AA69" s="12">
        <v>1</v>
      </c>
      <c r="AB69" s="12">
        <v>1</v>
      </c>
      <c r="AC69" s="12">
        <v>1</v>
      </c>
      <c r="AD69" s="12">
        <v>1</v>
      </c>
      <c r="AE69" s="12">
        <v>1</v>
      </c>
      <c r="AF69" s="12">
        <v>1</v>
      </c>
      <c r="AG69" s="12">
        <v>1</v>
      </c>
      <c r="AJ69" s="12">
        <v>5</v>
      </c>
      <c r="AK69" s="13" t="s">
        <v>36</v>
      </c>
      <c r="AL69" s="12">
        <v>1</v>
      </c>
      <c r="AM69" s="12">
        <v>1</v>
      </c>
      <c r="AN69" s="12">
        <v>1</v>
      </c>
      <c r="AO69" s="12">
        <v>1</v>
      </c>
      <c r="AP69" s="12">
        <v>1</v>
      </c>
      <c r="AQ69" s="12">
        <v>1</v>
      </c>
      <c r="AR69" s="12">
        <v>1</v>
      </c>
      <c r="AS69" s="12">
        <v>1</v>
      </c>
      <c r="AT69" s="12">
        <v>1</v>
      </c>
      <c r="AU69" s="12">
        <v>1</v>
      </c>
      <c r="AV69" s="12">
        <v>1</v>
      </c>
      <c r="AW69" s="12">
        <v>1</v>
      </c>
      <c r="AY69" s="12">
        <v>7</v>
      </c>
      <c r="AZ69" s="13" t="s">
        <v>38</v>
      </c>
      <c r="BA69" s="12">
        <v>1</v>
      </c>
      <c r="BB69" s="12">
        <v>1</v>
      </c>
      <c r="BC69" s="12">
        <v>1</v>
      </c>
      <c r="BD69" s="12">
        <v>1</v>
      </c>
      <c r="BE69" s="12">
        <v>1</v>
      </c>
      <c r="BF69" s="12">
        <v>1</v>
      </c>
      <c r="BG69" s="12">
        <v>1</v>
      </c>
      <c r="BH69" s="12">
        <v>1</v>
      </c>
      <c r="BI69" s="12">
        <v>1</v>
      </c>
      <c r="BJ69" s="12">
        <v>1</v>
      </c>
      <c r="BK69" s="12">
        <v>1</v>
      </c>
      <c r="BL69" s="12">
        <v>1</v>
      </c>
    </row>
    <row r="70" spans="2:64" ht="31" x14ac:dyDescent="0.35">
      <c r="B70" s="12">
        <v>12</v>
      </c>
      <c r="C70" s="13" t="s">
        <v>42</v>
      </c>
      <c r="D70" s="25">
        <v>1</v>
      </c>
      <c r="E70" s="25">
        <v>1</v>
      </c>
      <c r="F70" s="25">
        <v>1</v>
      </c>
      <c r="G70" s="25">
        <v>1</v>
      </c>
      <c r="H70" s="25">
        <v>1</v>
      </c>
      <c r="I70" s="25">
        <v>1</v>
      </c>
      <c r="J70" s="25">
        <v>1</v>
      </c>
      <c r="K70" s="25">
        <v>1</v>
      </c>
      <c r="L70" s="25">
        <v>1</v>
      </c>
      <c r="M70" s="25">
        <v>1</v>
      </c>
      <c r="N70" s="25">
        <v>1</v>
      </c>
      <c r="O70" s="25">
        <v>1</v>
      </c>
      <c r="T70" s="12">
        <v>6</v>
      </c>
      <c r="U70" s="13" t="s">
        <v>37</v>
      </c>
      <c r="V70" s="12">
        <v>1</v>
      </c>
      <c r="W70" s="12">
        <v>1</v>
      </c>
      <c r="X70" s="12">
        <v>1</v>
      </c>
      <c r="Y70" s="12">
        <v>1</v>
      </c>
      <c r="Z70" s="12">
        <v>1</v>
      </c>
      <c r="AA70" s="12">
        <v>1</v>
      </c>
      <c r="AB70" s="12">
        <v>1</v>
      </c>
      <c r="AC70" s="12">
        <v>1</v>
      </c>
      <c r="AD70" s="12">
        <v>1</v>
      </c>
      <c r="AE70" s="12">
        <v>1</v>
      </c>
      <c r="AF70" s="12">
        <v>1</v>
      </c>
      <c r="AG70" s="12">
        <v>1</v>
      </c>
      <c r="AJ70" s="12">
        <v>6</v>
      </c>
      <c r="AK70" s="13" t="s">
        <v>37</v>
      </c>
      <c r="AL70" s="12">
        <v>1</v>
      </c>
      <c r="AM70" s="12">
        <v>1</v>
      </c>
      <c r="AN70" s="12">
        <v>1</v>
      </c>
      <c r="AO70" s="12">
        <v>1</v>
      </c>
      <c r="AP70" s="12">
        <v>1</v>
      </c>
      <c r="AQ70" s="12">
        <v>1</v>
      </c>
      <c r="AR70" s="12">
        <v>1</v>
      </c>
      <c r="AS70" s="12">
        <v>1</v>
      </c>
      <c r="AT70" s="12">
        <v>1</v>
      </c>
      <c r="AU70" s="12">
        <v>1</v>
      </c>
      <c r="AV70" s="12">
        <v>1</v>
      </c>
      <c r="AW70" s="12">
        <v>1</v>
      </c>
      <c r="AY70" s="12">
        <v>8</v>
      </c>
      <c r="AZ70" s="13" t="s">
        <v>39</v>
      </c>
      <c r="BA70" s="12">
        <v>1</v>
      </c>
      <c r="BB70" s="12">
        <v>1</v>
      </c>
      <c r="BC70" s="12">
        <v>1</v>
      </c>
      <c r="BD70" s="12">
        <v>1</v>
      </c>
      <c r="BE70" s="12">
        <v>1</v>
      </c>
      <c r="BF70" s="12">
        <v>1</v>
      </c>
      <c r="BG70" s="12">
        <v>1</v>
      </c>
      <c r="BH70" s="12">
        <v>1</v>
      </c>
      <c r="BI70" s="12">
        <v>1</v>
      </c>
      <c r="BJ70" s="12">
        <v>1</v>
      </c>
      <c r="BK70" s="12">
        <v>1</v>
      </c>
      <c r="BL70" s="12">
        <v>1</v>
      </c>
    </row>
    <row r="71" spans="2:64" ht="46.5" x14ac:dyDescent="0.35">
      <c r="B71" s="12"/>
      <c r="C71" s="19" t="s">
        <v>29</v>
      </c>
      <c r="D71" s="20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2"/>
      <c r="T71" s="12">
        <v>7</v>
      </c>
      <c r="U71" s="13" t="s">
        <v>38</v>
      </c>
      <c r="V71" s="12">
        <v>1</v>
      </c>
      <c r="W71" s="12">
        <v>1</v>
      </c>
      <c r="X71" s="12">
        <v>1</v>
      </c>
      <c r="Y71" s="12">
        <v>1</v>
      </c>
      <c r="Z71" s="12">
        <v>1</v>
      </c>
      <c r="AA71" s="12">
        <v>1</v>
      </c>
      <c r="AB71" s="12">
        <v>1</v>
      </c>
      <c r="AC71" s="12">
        <v>1</v>
      </c>
      <c r="AD71" s="12">
        <v>1</v>
      </c>
      <c r="AE71" s="12">
        <v>1</v>
      </c>
      <c r="AF71" s="12">
        <v>1</v>
      </c>
      <c r="AG71" s="12">
        <v>1</v>
      </c>
      <c r="AJ71" s="12">
        <v>7</v>
      </c>
      <c r="AK71" s="13" t="s">
        <v>38</v>
      </c>
      <c r="AL71" s="12">
        <v>1</v>
      </c>
      <c r="AM71" s="12">
        <v>1</v>
      </c>
      <c r="AN71" s="12">
        <v>1</v>
      </c>
      <c r="AO71" s="12">
        <v>1</v>
      </c>
      <c r="AP71" s="12">
        <v>1</v>
      </c>
      <c r="AQ71" s="12">
        <v>1</v>
      </c>
      <c r="AR71" s="12">
        <v>1</v>
      </c>
      <c r="AS71" s="12">
        <v>1</v>
      </c>
      <c r="AT71" s="12">
        <v>1</v>
      </c>
      <c r="AU71" s="12">
        <v>1</v>
      </c>
      <c r="AV71" s="12">
        <v>1</v>
      </c>
      <c r="AW71" s="12">
        <v>1</v>
      </c>
      <c r="AY71" s="12">
        <v>9</v>
      </c>
      <c r="AZ71" s="13" t="s">
        <v>40</v>
      </c>
      <c r="BA71" s="25">
        <v>1</v>
      </c>
      <c r="BB71" s="25">
        <v>1</v>
      </c>
      <c r="BC71" s="25">
        <v>1</v>
      </c>
      <c r="BD71" s="25">
        <v>1</v>
      </c>
      <c r="BE71" s="25">
        <v>1</v>
      </c>
      <c r="BF71" s="25">
        <v>1</v>
      </c>
      <c r="BG71" s="25">
        <v>1</v>
      </c>
      <c r="BH71" s="25">
        <v>1</v>
      </c>
      <c r="BI71" s="25">
        <v>1</v>
      </c>
      <c r="BJ71" s="25">
        <v>1</v>
      </c>
      <c r="BK71" s="25">
        <v>1</v>
      </c>
      <c r="BL71" s="25">
        <v>1</v>
      </c>
    </row>
    <row r="72" spans="2:64" ht="31" x14ac:dyDescent="0.35">
      <c r="B72" s="12">
        <v>13</v>
      </c>
      <c r="C72" s="13" t="s">
        <v>43</v>
      </c>
      <c r="D72" s="24">
        <v>1</v>
      </c>
      <c r="E72" s="24">
        <v>1</v>
      </c>
      <c r="F72" s="24">
        <v>1</v>
      </c>
      <c r="G72" s="24">
        <v>1</v>
      </c>
      <c r="H72" s="24">
        <v>1</v>
      </c>
      <c r="I72" s="24">
        <v>1</v>
      </c>
      <c r="J72" s="24">
        <v>1</v>
      </c>
      <c r="K72" s="24">
        <v>1</v>
      </c>
      <c r="L72" s="24">
        <v>1</v>
      </c>
      <c r="M72" s="24">
        <v>1</v>
      </c>
      <c r="N72" s="24">
        <v>1</v>
      </c>
      <c r="O72" s="24">
        <v>1</v>
      </c>
      <c r="T72" s="12">
        <v>8</v>
      </c>
      <c r="U72" s="13" t="s">
        <v>39</v>
      </c>
      <c r="V72" s="12">
        <v>1</v>
      </c>
      <c r="W72" s="12">
        <v>1</v>
      </c>
      <c r="X72" s="12">
        <v>1</v>
      </c>
      <c r="Y72" s="12">
        <v>1</v>
      </c>
      <c r="Z72" s="12">
        <v>1</v>
      </c>
      <c r="AA72" s="12">
        <v>1</v>
      </c>
      <c r="AB72" s="12">
        <v>1</v>
      </c>
      <c r="AC72" s="12">
        <v>1</v>
      </c>
      <c r="AD72" s="12">
        <v>1</v>
      </c>
      <c r="AE72" s="12">
        <v>1</v>
      </c>
      <c r="AF72" s="12">
        <v>1</v>
      </c>
      <c r="AG72" s="12">
        <v>1</v>
      </c>
      <c r="AJ72" s="12">
        <v>8</v>
      </c>
      <c r="AK72" s="13" t="s">
        <v>39</v>
      </c>
      <c r="AL72" s="12">
        <v>1</v>
      </c>
      <c r="AM72" s="12">
        <v>1</v>
      </c>
      <c r="AN72" s="12">
        <v>1</v>
      </c>
      <c r="AO72" s="12">
        <v>1</v>
      </c>
      <c r="AP72" s="12">
        <v>1</v>
      </c>
      <c r="AQ72" s="12">
        <v>1</v>
      </c>
      <c r="AR72" s="12">
        <v>1</v>
      </c>
      <c r="AS72" s="12">
        <v>1</v>
      </c>
      <c r="AT72" s="12">
        <v>1</v>
      </c>
      <c r="AU72" s="12">
        <v>1</v>
      </c>
      <c r="AV72" s="12">
        <v>1</v>
      </c>
      <c r="AW72" s="12">
        <v>1</v>
      </c>
      <c r="AY72" s="12"/>
      <c r="AZ72" s="23" t="s">
        <v>28</v>
      </c>
      <c r="BA72" s="20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2"/>
    </row>
    <row r="73" spans="2:64" ht="31" x14ac:dyDescent="0.35">
      <c r="B73" s="12">
        <v>14</v>
      </c>
      <c r="C73" s="13" t="s">
        <v>44</v>
      </c>
      <c r="D73" s="12">
        <v>1</v>
      </c>
      <c r="E73" s="12">
        <v>1</v>
      </c>
      <c r="F73" s="12">
        <v>1</v>
      </c>
      <c r="G73" s="12">
        <v>1</v>
      </c>
      <c r="H73" s="12">
        <v>1</v>
      </c>
      <c r="I73" s="12">
        <v>1</v>
      </c>
      <c r="J73" s="12">
        <v>1</v>
      </c>
      <c r="K73" s="12">
        <v>1</v>
      </c>
      <c r="L73" s="12">
        <v>1</v>
      </c>
      <c r="M73" s="12">
        <v>1</v>
      </c>
      <c r="N73" s="12">
        <v>1</v>
      </c>
      <c r="O73" s="12">
        <v>1</v>
      </c>
      <c r="T73" s="12">
        <v>9</v>
      </c>
      <c r="U73" s="13" t="s">
        <v>40</v>
      </c>
      <c r="V73" s="25">
        <v>1</v>
      </c>
      <c r="W73" s="25">
        <v>1</v>
      </c>
      <c r="X73" s="25">
        <v>1</v>
      </c>
      <c r="Y73" s="25">
        <v>1</v>
      </c>
      <c r="Z73" s="25">
        <v>1</v>
      </c>
      <c r="AA73" s="25">
        <v>1</v>
      </c>
      <c r="AB73" s="25">
        <v>1</v>
      </c>
      <c r="AC73" s="25">
        <v>1</v>
      </c>
      <c r="AD73" s="25">
        <v>1</v>
      </c>
      <c r="AE73" s="25">
        <v>1</v>
      </c>
      <c r="AF73" s="25">
        <v>1</v>
      </c>
      <c r="AG73" s="25">
        <v>1</v>
      </c>
      <c r="AJ73" s="12">
        <v>9</v>
      </c>
      <c r="AK73" s="13" t="s">
        <v>40</v>
      </c>
      <c r="AL73" s="25">
        <v>1</v>
      </c>
      <c r="AM73" s="25">
        <v>1</v>
      </c>
      <c r="AN73" s="25">
        <v>1</v>
      </c>
      <c r="AO73" s="25">
        <v>1</v>
      </c>
      <c r="AP73" s="25">
        <v>1</v>
      </c>
      <c r="AQ73" s="25">
        <v>1</v>
      </c>
      <c r="AR73" s="25">
        <v>1</v>
      </c>
      <c r="AS73" s="25">
        <v>1</v>
      </c>
      <c r="AT73" s="25">
        <v>1</v>
      </c>
      <c r="AU73" s="25">
        <v>1</v>
      </c>
      <c r="AV73" s="25">
        <v>1</v>
      </c>
      <c r="AW73" s="25">
        <v>1</v>
      </c>
      <c r="AY73" s="12">
        <v>10</v>
      </c>
      <c r="AZ73" s="13" t="s">
        <v>41</v>
      </c>
      <c r="BA73" s="24">
        <v>1</v>
      </c>
      <c r="BB73" s="24">
        <v>1</v>
      </c>
      <c r="BC73" s="24">
        <v>1</v>
      </c>
      <c r="BD73" s="24">
        <v>1</v>
      </c>
      <c r="BE73" s="24">
        <v>1</v>
      </c>
      <c r="BF73" s="24">
        <v>1</v>
      </c>
      <c r="BG73" s="24">
        <v>1</v>
      </c>
      <c r="BH73" s="24">
        <v>1</v>
      </c>
      <c r="BI73" s="24">
        <v>1</v>
      </c>
      <c r="BJ73" s="24">
        <v>1</v>
      </c>
      <c r="BK73" s="24">
        <v>1</v>
      </c>
      <c r="BL73" s="24">
        <v>1</v>
      </c>
    </row>
    <row r="74" spans="2:64" ht="46.5" x14ac:dyDescent="0.35">
      <c r="B74" s="12">
        <v>15</v>
      </c>
      <c r="C74" s="13" t="s">
        <v>46</v>
      </c>
      <c r="D74" s="12">
        <v>1</v>
      </c>
      <c r="E74" s="12">
        <v>1</v>
      </c>
      <c r="F74" s="12">
        <v>1</v>
      </c>
      <c r="G74" s="12">
        <v>1</v>
      </c>
      <c r="H74" s="12">
        <v>1</v>
      </c>
      <c r="I74" s="12">
        <v>1</v>
      </c>
      <c r="J74" s="12">
        <v>0</v>
      </c>
      <c r="K74" s="12">
        <v>0</v>
      </c>
      <c r="L74" s="12">
        <v>0</v>
      </c>
      <c r="M74" s="12">
        <v>1</v>
      </c>
      <c r="N74" s="12">
        <v>1</v>
      </c>
      <c r="O74" s="12">
        <v>1</v>
      </c>
      <c r="T74" s="12"/>
      <c r="U74" s="23" t="s">
        <v>28</v>
      </c>
      <c r="V74" s="20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2"/>
      <c r="AJ74" s="12"/>
      <c r="AK74" s="23" t="s">
        <v>28</v>
      </c>
      <c r="AL74" s="20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2"/>
      <c r="AY74" s="12">
        <v>11</v>
      </c>
      <c r="AZ74" s="13" t="s">
        <v>50</v>
      </c>
      <c r="BA74" s="12">
        <v>0</v>
      </c>
      <c r="BB74" s="12">
        <v>0</v>
      </c>
      <c r="BC74" s="12">
        <v>0</v>
      </c>
      <c r="BD74" s="12">
        <v>0</v>
      </c>
      <c r="BE74" s="12">
        <v>0</v>
      </c>
      <c r="BF74" s="12">
        <v>0</v>
      </c>
      <c r="BG74" s="12">
        <v>0</v>
      </c>
      <c r="BH74" s="12">
        <v>0</v>
      </c>
      <c r="BI74" s="12">
        <v>1</v>
      </c>
      <c r="BJ74" s="12">
        <v>1</v>
      </c>
      <c r="BK74" s="12">
        <v>1</v>
      </c>
      <c r="BL74" s="12">
        <v>1</v>
      </c>
    </row>
    <row r="75" spans="2:64" ht="46.5" x14ac:dyDescent="0.35">
      <c r="B75" s="12">
        <v>16</v>
      </c>
      <c r="C75" s="13" t="s">
        <v>45</v>
      </c>
      <c r="D75" s="25">
        <v>0</v>
      </c>
      <c r="E75" s="25">
        <v>0</v>
      </c>
      <c r="F75" s="25">
        <v>0</v>
      </c>
      <c r="G75" s="25">
        <v>0</v>
      </c>
      <c r="H75" s="25">
        <v>0</v>
      </c>
      <c r="I75" s="25">
        <v>0</v>
      </c>
      <c r="J75" s="25">
        <v>0</v>
      </c>
      <c r="K75" s="25">
        <v>0</v>
      </c>
      <c r="L75" s="25">
        <v>0</v>
      </c>
      <c r="M75" s="25">
        <v>0</v>
      </c>
      <c r="N75" s="25">
        <v>0</v>
      </c>
      <c r="O75" s="25">
        <v>0</v>
      </c>
      <c r="T75" s="12">
        <v>10</v>
      </c>
      <c r="U75" s="13" t="s">
        <v>41</v>
      </c>
      <c r="V75" s="24">
        <v>1</v>
      </c>
      <c r="W75" s="24">
        <v>1</v>
      </c>
      <c r="X75" s="24">
        <v>1</v>
      </c>
      <c r="Y75" s="24">
        <v>1</v>
      </c>
      <c r="Z75" s="24">
        <v>1</v>
      </c>
      <c r="AA75" s="24">
        <v>1</v>
      </c>
      <c r="AB75" s="24">
        <v>1</v>
      </c>
      <c r="AC75" s="24">
        <v>1</v>
      </c>
      <c r="AD75" s="24">
        <v>1</v>
      </c>
      <c r="AE75" s="24">
        <v>1</v>
      </c>
      <c r="AF75" s="24">
        <v>1</v>
      </c>
      <c r="AG75" s="24">
        <v>1</v>
      </c>
      <c r="AJ75" s="12">
        <v>10</v>
      </c>
      <c r="AK75" s="13" t="s">
        <v>41</v>
      </c>
      <c r="AL75" s="24">
        <v>1</v>
      </c>
      <c r="AM75" s="24">
        <v>1</v>
      </c>
      <c r="AN75" s="24">
        <v>1</v>
      </c>
      <c r="AO75" s="24">
        <v>1</v>
      </c>
      <c r="AP75" s="24">
        <v>1</v>
      </c>
      <c r="AQ75" s="24">
        <v>1</v>
      </c>
      <c r="AR75" s="24">
        <v>1</v>
      </c>
      <c r="AS75" s="24">
        <v>1</v>
      </c>
      <c r="AT75" s="24">
        <v>1</v>
      </c>
      <c r="AU75" s="24">
        <v>1</v>
      </c>
      <c r="AV75" s="24">
        <v>1</v>
      </c>
      <c r="AW75" s="24">
        <v>1</v>
      </c>
      <c r="AY75" s="12">
        <v>12</v>
      </c>
      <c r="AZ75" s="13" t="s">
        <v>42</v>
      </c>
      <c r="BA75" s="25">
        <v>1</v>
      </c>
      <c r="BB75" s="25">
        <v>1</v>
      </c>
      <c r="BC75" s="25">
        <v>1</v>
      </c>
      <c r="BD75" s="25">
        <v>1</v>
      </c>
      <c r="BE75" s="25">
        <v>1</v>
      </c>
      <c r="BF75" s="25">
        <v>1</v>
      </c>
      <c r="BG75" s="25">
        <v>1</v>
      </c>
      <c r="BH75" s="25">
        <v>1</v>
      </c>
      <c r="BI75" s="25">
        <v>1</v>
      </c>
      <c r="BJ75" s="25">
        <v>1</v>
      </c>
      <c r="BK75" s="25">
        <v>1</v>
      </c>
      <c r="BL75" s="25">
        <v>1</v>
      </c>
    </row>
    <row r="76" spans="2:64" ht="46.5" x14ac:dyDescent="0.35">
      <c r="B76" s="12"/>
      <c r="C76" s="23" t="s">
        <v>30</v>
      </c>
      <c r="D76" s="20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2"/>
      <c r="T76" s="12">
        <v>11</v>
      </c>
      <c r="U76" s="13" t="s">
        <v>50</v>
      </c>
      <c r="V76" s="12">
        <v>0</v>
      </c>
      <c r="W76" s="12">
        <v>0</v>
      </c>
      <c r="X76" s="12">
        <v>0</v>
      </c>
      <c r="Y76" s="12">
        <v>1</v>
      </c>
      <c r="Z76" s="12">
        <v>1</v>
      </c>
      <c r="AA76" s="12">
        <v>1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J76" s="12">
        <v>11</v>
      </c>
      <c r="AK76" s="13" t="s">
        <v>50</v>
      </c>
      <c r="AL76" s="12">
        <v>0</v>
      </c>
      <c r="AM76" s="12">
        <v>0</v>
      </c>
      <c r="AN76" s="12">
        <v>0</v>
      </c>
      <c r="AO76" s="12">
        <v>0</v>
      </c>
      <c r="AP76" s="12">
        <v>0</v>
      </c>
      <c r="AQ76" s="12">
        <v>0</v>
      </c>
      <c r="AR76" s="12">
        <v>0</v>
      </c>
      <c r="AS76" s="12">
        <v>0</v>
      </c>
      <c r="AT76" s="12">
        <v>0</v>
      </c>
      <c r="AU76" s="12">
        <v>0</v>
      </c>
      <c r="AV76" s="12">
        <v>0</v>
      </c>
      <c r="AW76" s="12">
        <v>0</v>
      </c>
      <c r="AY76" s="12"/>
      <c r="AZ76" s="19" t="s">
        <v>29</v>
      </c>
      <c r="BA76" s="20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2"/>
    </row>
    <row r="77" spans="2:64" ht="46.5" x14ac:dyDescent="0.35">
      <c r="B77" s="12">
        <v>17</v>
      </c>
      <c r="C77" s="13" t="s">
        <v>47</v>
      </c>
      <c r="D77" s="24">
        <v>0</v>
      </c>
      <c r="E77" s="24">
        <v>0</v>
      </c>
      <c r="F77" s="24">
        <v>0</v>
      </c>
      <c r="G77" s="24">
        <v>1</v>
      </c>
      <c r="H77" s="24">
        <v>1</v>
      </c>
      <c r="I77" s="24">
        <v>1</v>
      </c>
      <c r="J77" s="24">
        <v>0</v>
      </c>
      <c r="K77" s="24">
        <v>0</v>
      </c>
      <c r="L77" s="24">
        <v>0</v>
      </c>
      <c r="M77" s="24">
        <v>1</v>
      </c>
      <c r="N77" s="24">
        <v>1</v>
      </c>
      <c r="O77" s="24">
        <v>1</v>
      </c>
      <c r="T77" s="12">
        <v>12</v>
      </c>
      <c r="U77" s="13" t="s">
        <v>42</v>
      </c>
      <c r="V77" s="25">
        <v>1</v>
      </c>
      <c r="W77" s="25">
        <v>1</v>
      </c>
      <c r="X77" s="25">
        <v>1</v>
      </c>
      <c r="Y77" s="25">
        <v>1</v>
      </c>
      <c r="Z77" s="25">
        <v>1</v>
      </c>
      <c r="AA77" s="25">
        <v>1</v>
      </c>
      <c r="AB77" s="25">
        <v>1</v>
      </c>
      <c r="AC77" s="25">
        <v>1</v>
      </c>
      <c r="AD77" s="25">
        <v>1</v>
      </c>
      <c r="AE77" s="25">
        <v>1</v>
      </c>
      <c r="AF77" s="25">
        <v>1</v>
      </c>
      <c r="AG77" s="25">
        <v>1</v>
      </c>
      <c r="AJ77" s="12">
        <v>12</v>
      </c>
      <c r="AK77" s="13" t="s">
        <v>42</v>
      </c>
      <c r="AL77" s="25">
        <v>1</v>
      </c>
      <c r="AM77" s="25">
        <v>1</v>
      </c>
      <c r="AN77" s="25">
        <v>1</v>
      </c>
      <c r="AO77" s="25">
        <v>1</v>
      </c>
      <c r="AP77" s="25">
        <v>1</v>
      </c>
      <c r="AQ77" s="25">
        <v>1</v>
      </c>
      <c r="AR77" s="25">
        <v>1</v>
      </c>
      <c r="AS77" s="25">
        <v>1</v>
      </c>
      <c r="AT77" s="25">
        <v>1</v>
      </c>
      <c r="AU77" s="25">
        <v>1</v>
      </c>
      <c r="AV77" s="25">
        <v>1</v>
      </c>
      <c r="AW77" s="25">
        <v>1</v>
      </c>
      <c r="AY77" s="12">
        <v>13</v>
      </c>
      <c r="AZ77" s="13" t="s">
        <v>43</v>
      </c>
      <c r="BA77" s="24">
        <v>1</v>
      </c>
      <c r="BB77" s="24">
        <v>1</v>
      </c>
      <c r="BC77" s="24">
        <v>1</v>
      </c>
      <c r="BD77" s="24">
        <v>1</v>
      </c>
      <c r="BE77" s="24">
        <v>1</v>
      </c>
      <c r="BF77" s="24">
        <v>1</v>
      </c>
      <c r="BG77" s="24">
        <v>1</v>
      </c>
      <c r="BH77" s="24">
        <v>1</v>
      </c>
      <c r="BI77" s="24">
        <v>1</v>
      </c>
      <c r="BJ77" s="24">
        <v>1</v>
      </c>
      <c r="BK77" s="24">
        <v>1</v>
      </c>
      <c r="BL77" s="24">
        <v>1</v>
      </c>
    </row>
    <row r="78" spans="2:64" ht="62" x14ac:dyDescent="0.35">
      <c r="B78" s="12">
        <v>18</v>
      </c>
      <c r="C78" s="13" t="s">
        <v>33</v>
      </c>
      <c r="D78" s="25">
        <v>0</v>
      </c>
      <c r="E78" s="25">
        <v>0</v>
      </c>
      <c r="F78" s="25">
        <v>0</v>
      </c>
      <c r="G78" s="25">
        <v>1</v>
      </c>
      <c r="H78" s="25">
        <v>1</v>
      </c>
      <c r="I78" s="25">
        <v>1</v>
      </c>
      <c r="J78" s="25">
        <v>0</v>
      </c>
      <c r="K78" s="25">
        <v>0</v>
      </c>
      <c r="L78" s="25">
        <v>0</v>
      </c>
      <c r="M78" s="25">
        <v>1</v>
      </c>
      <c r="N78" s="25">
        <v>1</v>
      </c>
      <c r="O78" s="25">
        <v>1</v>
      </c>
      <c r="T78" s="12"/>
      <c r="U78" s="19" t="s">
        <v>29</v>
      </c>
      <c r="V78" s="20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2"/>
      <c r="AJ78" s="12"/>
      <c r="AK78" s="19" t="s">
        <v>29</v>
      </c>
      <c r="AL78" s="20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2"/>
      <c r="AY78" s="12">
        <v>14</v>
      </c>
      <c r="AZ78" s="13" t="s">
        <v>44</v>
      </c>
      <c r="BA78" s="12">
        <v>1</v>
      </c>
      <c r="BB78" s="12">
        <v>1</v>
      </c>
      <c r="BC78" s="12">
        <v>1</v>
      </c>
      <c r="BD78" s="12">
        <v>1</v>
      </c>
      <c r="BE78" s="12">
        <v>1</v>
      </c>
      <c r="BF78" s="12">
        <v>1</v>
      </c>
      <c r="BG78" s="12">
        <v>1</v>
      </c>
      <c r="BH78" s="12">
        <v>1</v>
      </c>
      <c r="BI78" s="12">
        <v>1</v>
      </c>
      <c r="BJ78" s="12">
        <v>1</v>
      </c>
      <c r="BK78" s="12">
        <v>1</v>
      </c>
      <c r="BL78" s="12">
        <v>1</v>
      </c>
    </row>
    <row r="79" spans="2:64" ht="46.5" x14ac:dyDescent="0.35">
      <c r="B79" s="15"/>
      <c r="C79" s="23" t="s">
        <v>31</v>
      </c>
      <c r="D79" s="17">
        <f t="shared" ref="D79:O79" si="86">D57+D58+D60+D61+D62+D63+D64+D65+D66+D68+D69+D70+D72+D73+D74+D75+D77+D78</f>
        <v>13</v>
      </c>
      <c r="E79" s="17">
        <f t="shared" si="86"/>
        <v>11</v>
      </c>
      <c r="F79" s="17">
        <f t="shared" si="86"/>
        <v>15</v>
      </c>
      <c r="G79" s="17">
        <f t="shared" si="86"/>
        <v>15</v>
      </c>
      <c r="H79" s="17">
        <f t="shared" si="86"/>
        <v>16</v>
      </c>
      <c r="I79" s="17">
        <f t="shared" si="86"/>
        <v>17</v>
      </c>
      <c r="J79" s="17">
        <f t="shared" si="86"/>
        <v>10</v>
      </c>
      <c r="K79" s="17">
        <f t="shared" si="86"/>
        <v>10</v>
      </c>
      <c r="L79" s="17">
        <f t="shared" si="86"/>
        <v>11</v>
      </c>
      <c r="M79" s="17">
        <f t="shared" si="86"/>
        <v>14</v>
      </c>
      <c r="N79" s="17">
        <f t="shared" si="86"/>
        <v>15</v>
      </c>
      <c r="O79" s="17">
        <f t="shared" si="86"/>
        <v>15</v>
      </c>
      <c r="T79" s="12">
        <v>13</v>
      </c>
      <c r="U79" s="13" t="s">
        <v>43</v>
      </c>
      <c r="V79" s="24">
        <v>1</v>
      </c>
      <c r="W79" s="24">
        <v>1</v>
      </c>
      <c r="X79" s="24">
        <v>1</v>
      </c>
      <c r="Y79" s="24">
        <v>1</v>
      </c>
      <c r="Z79" s="24">
        <v>1</v>
      </c>
      <c r="AA79" s="24">
        <v>1</v>
      </c>
      <c r="AB79" s="24">
        <v>1</v>
      </c>
      <c r="AC79" s="24">
        <v>1</v>
      </c>
      <c r="AD79" s="24">
        <v>1</v>
      </c>
      <c r="AE79" s="24">
        <v>1</v>
      </c>
      <c r="AF79" s="24">
        <v>1</v>
      </c>
      <c r="AG79" s="24">
        <v>1</v>
      </c>
      <c r="AJ79" s="12">
        <v>13</v>
      </c>
      <c r="AK79" s="13" t="s">
        <v>43</v>
      </c>
      <c r="AL79" s="24">
        <v>1</v>
      </c>
      <c r="AM79" s="24">
        <v>1</v>
      </c>
      <c r="AN79" s="24">
        <v>1</v>
      </c>
      <c r="AO79" s="24">
        <v>1</v>
      </c>
      <c r="AP79" s="24">
        <v>1</v>
      </c>
      <c r="AQ79" s="24">
        <v>1</v>
      </c>
      <c r="AR79" s="24">
        <v>1</v>
      </c>
      <c r="AS79" s="24">
        <v>1</v>
      </c>
      <c r="AT79" s="24">
        <v>1</v>
      </c>
      <c r="AU79" s="24">
        <v>1</v>
      </c>
      <c r="AV79" s="24">
        <v>1</v>
      </c>
      <c r="AW79" s="24">
        <v>1</v>
      </c>
      <c r="AY79" s="12">
        <v>15</v>
      </c>
      <c r="AZ79" s="13" t="s">
        <v>46</v>
      </c>
      <c r="BA79" s="12">
        <v>1</v>
      </c>
      <c r="BB79" s="12">
        <v>1</v>
      </c>
      <c r="BC79" s="12">
        <v>1</v>
      </c>
      <c r="BD79" s="12">
        <v>1</v>
      </c>
      <c r="BE79" s="12">
        <v>1</v>
      </c>
      <c r="BF79" s="12">
        <v>1</v>
      </c>
      <c r="BG79" s="12">
        <v>1</v>
      </c>
      <c r="BH79" s="12">
        <v>1</v>
      </c>
      <c r="BI79" s="12">
        <v>1</v>
      </c>
      <c r="BJ79" s="12">
        <v>1</v>
      </c>
      <c r="BK79" s="12">
        <v>1</v>
      </c>
      <c r="BL79" s="12">
        <v>1</v>
      </c>
    </row>
    <row r="80" spans="2:64" ht="60" x14ac:dyDescent="0.35">
      <c r="B80" s="16" t="s">
        <v>32</v>
      </c>
      <c r="C80" s="17"/>
      <c r="D80" s="30">
        <f t="shared" ref="D80:J80" si="87">D79/18</f>
        <v>0.72222222222222221</v>
      </c>
      <c r="E80" s="30">
        <f t="shared" si="87"/>
        <v>0.61111111111111116</v>
      </c>
      <c r="F80" s="30">
        <f t="shared" si="87"/>
        <v>0.83333333333333337</v>
      </c>
      <c r="G80" s="30">
        <f t="shared" si="87"/>
        <v>0.83333333333333337</v>
      </c>
      <c r="H80" s="30">
        <f t="shared" si="87"/>
        <v>0.88888888888888884</v>
      </c>
      <c r="I80" s="30">
        <f t="shared" si="87"/>
        <v>0.94444444444444442</v>
      </c>
      <c r="J80" s="30">
        <f t="shared" si="87"/>
        <v>0.55555555555555558</v>
      </c>
      <c r="K80" s="30">
        <f t="shared" ref="K80:O80" si="88">K79/18</f>
        <v>0.55555555555555558</v>
      </c>
      <c r="L80" s="30">
        <f t="shared" si="88"/>
        <v>0.61111111111111116</v>
      </c>
      <c r="M80" s="30">
        <f t="shared" si="88"/>
        <v>0.77777777777777779</v>
      </c>
      <c r="N80" s="30">
        <f t="shared" si="88"/>
        <v>0.83333333333333337</v>
      </c>
      <c r="O80" s="30">
        <f t="shared" si="88"/>
        <v>0.83333333333333337</v>
      </c>
      <c r="T80" s="12">
        <v>14</v>
      </c>
      <c r="U80" s="13" t="s">
        <v>44</v>
      </c>
      <c r="V80" s="12">
        <v>1</v>
      </c>
      <c r="W80" s="12">
        <v>1</v>
      </c>
      <c r="X80" s="12">
        <v>1</v>
      </c>
      <c r="Y80" s="12">
        <v>1</v>
      </c>
      <c r="Z80" s="12">
        <v>1</v>
      </c>
      <c r="AA80" s="12">
        <v>1</v>
      </c>
      <c r="AB80" s="12">
        <v>1</v>
      </c>
      <c r="AC80" s="12">
        <v>1</v>
      </c>
      <c r="AD80" s="12">
        <v>1</v>
      </c>
      <c r="AE80" s="12">
        <v>1</v>
      </c>
      <c r="AF80" s="12">
        <v>1</v>
      </c>
      <c r="AG80" s="12">
        <v>1</v>
      </c>
      <c r="AJ80" s="12">
        <v>14</v>
      </c>
      <c r="AK80" s="13" t="s">
        <v>44</v>
      </c>
      <c r="AL80" s="12">
        <v>1</v>
      </c>
      <c r="AM80" s="12">
        <v>1</v>
      </c>
      <c r="AN80" s="12">
        <v>1</v>
      </c>
      <c r="AO80" s="12">
        <v>1</v>
      </c>
      <c r="AP80" s="12">
        <v>1</v>
      </c>
      <c r="AQ80" s="12">
        <v>1</v>
      </c>
      <c r="AR80" s="12">
        <v>1</v>
      </c>
      <c r="AS80" s="12">
        <v>1</v>
      </c>
      <c r="AT80" s="12">
        <v>1</v>
      </c>
      <c r="AU80" s="12">
        <v>1</v>
      </c>
      <c r="AV80" s="12">
        <v>1</v>
      </c>
      <c r="AW80" s="12">
        <v>1</v>
      </c>
      <c r="AY80" s="12">
        <v>16</v>
      </c>
      <c r="AZ80" s="13" t="s">
        <v>45</v>
      </c>
      <c r="BA80" s="25">
        <v>0</v>
      </c>
      <c r="BB80" s="25">
        <v>0</v>
      </c>
      <c r="BC80" s="25">
        <v>0</v>
      </c>
      <c r="BD80" s="25">
        <v>0</v>
      </c>
      <c r="BE80" s="25">
        <v>0</v>
      </c>
      <c r="BF80" s="25">
        <v>0</v>
      </c>
      <c r="BG80" s="25">
        <v>0</v>
      </c>
      <c r="BH80" s="25">
        <v>0</v>
      </c>
      <c r="BI80" s="25">
        <v>0</v>
      </c>
      <c r="BJ80" s="25">
        <v>0</v>
      </c>
      <c r="BK80" s="25">
        <v>0</v>
      </c>
      <c r="BL80" s="25">
        <v>0</v>
      </c>
    </row>
    <row r="81" spans="2:64" ht="62" x14ac:dyDescent="0.35">
      <c r="T81" s="12">
        <v>15</v>
      </c>
      <c r="U81" s="13" t="s">
        <v>46</v>
      </c>
      <c r="V81" s="12">
        <v>1</v>
      </c>
      <c r="W81" s="12">
        <v>1</v>
      </c>
      <c r="X81" s="12">
        <v>1</v>
      </c>
      <c r="Y81" s="12">
        <v>1</v>
      </c>
      <c r="Z81" s="12">
        <v>1</v>
      </c>
      <c r="AA81" s="12">
        <v>1</v>
      </c>
      <c r="AB81" s="12">
        <v>1</v>
      </c>
      <c r="AC81" s="12">
        <v>1</v>
      </c>
      <c r="AD81" s="12">
        <v>1</v>
      </c>
      <c r="AE81" s="12">
        <v>1</v>
      </c>
      <c r="AF81" s="12">
        <v>1</v>
      </c>
      <c r="AG81" s="12">
        <v>1</v>
      </c>
      <c r="AJ81" s="12">
        <v>15</v>
      </c>
      <c r="AK81" s="13" t="s">
        <v>46</v>
      </c>
      <c r="AL81" s="12">
        <v>1</v>
      </c>
      <c r="AM81" s="12">
        <v>1</v>
      </c>
      <c r="AN81" s="12">
        <v>1</v>
      </c>
      <c r="AO81" s="12">
        <v>1</v>
      </c>
      <c r="AP81" s="12">
        <v>1</v>
      </c>
      <c r="AQ81" s="12">
        <v>1</v>
      </c>
      <c r="AR81" s="12">
        <v>1</v>
      </c>
      <c r="AS81" s="12">
        <v>1</v>
      </c>
      <c r="AT81" s="12">
        <v>1</v>
      </c>
      <c r="AU81" s="12">
        <v>1</v>
      </c>
      <c r="AV81" s="12">
        <v>1</v>
      </c>
      <c r="AW81" s="12">
        <v>1</v>
      </c>
      <c r="AY81" s="12"/>
      <c r="AZ81" s="23" t="s">
        <v>30</v>
      </c>
      <c r="BA81" s="20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2"/>
    </row>
    <row r="82" spans="2:64" ht="62" x14ac:dyDescent="0.35">
      <c r="B82" s="62" t="s">
        <v>0</v>
      </c>
      <c r="C82" s="10" t="s">
        <v>25</v>
      </c>
      <c r="D82" s="57" t="s">
        <v>56</v>
      </c>
      <c r="E82" s="58"/>
      <c r="F82" s="59"/>
      <c r="G82" s="57" t="s">
        <v>57</v>
      </c>
      <c r="H82" s="58"/>
      <c r="I82" s="59"/>
      <c r="J82" s="57" t="s">
        <v>58</v>
      </c>
      <c r="K82" s="58"/>
      <c r="L82" s="59"/>
      <c r="M82" s="57" t="s">
        <v>59</v>
      </c>
      <c r="N82" s="58"/>
      <c r="O82" s="59"/>
      <c r="T82" s="12">
        <v>16</v>
      </c>
      <c r="U82" s="13" t="s">
        <v>45</v>
      </c>
      <c r="V82" s="25">
        <v>0</v>
      </c>
      <c r="W82" s="25">
        <v>0</v>
      </c>
      <c r="X82" s="25">
        <v>0</v>
      </c>
      <c r="Y82" s="25">
        <v>0</v>
      </c>
      <c r="Z82" s="25">
        <v>0</v>
      </c>
      <c r="AA82" s="25">
        <v>0</v>
      </c>
      <c r="AB82" s="25">
        <v>0</v>
      </c>
      <c r="AC82" s="25">
        <v>0</v>
      </c>
      <c r="AD82" s="25">
        <v>0</v>
      </c>
      <c r="AE82" s="25">
        <v>0</v>
      </c>
      <c r="AF82" s="25">
        <v>0</v>
      </c>
      <c r="AG82" s="25">
        <v>0</v>
      </c>
      <c r="AJ82" s="12">
        <v>16</v>
      </c>
      <c r="AK82" s="13" t="s">
        <v>45</v>
      </c>
      <c r="AL82" s="25">
        <v>0</v>
      </c>
      <c r="AM82" s="25">
        <v>0</v>
      </c>
      <c r="AN82" s="25">
        <v>0</v>
      </c>
      <c r="AO82" s="25">
        <v>0</v>
      </c>
      <c r="AP82" s="25">
        <v>0</v>
      </c>
      <c r="AQ82" s="25">
        <v>0</v>
      </c>
      <c r="AR82" s="25">
        <v>0</v>
      </c>
      <c r="AS82" s="25">
        <v>0</v>
      </c>
      <c r="AT82" s="25">
        <v>0</v>
      </c>
      <c r="AU82" s="25">
        <v>0</v>
      </c>
      <c r="AV82" s="25">
        <v>0</v>
      </c>
      <c r="AW82" s="25">
        <v>0</v>
      </c>
      <c r="AY82" s="12">
        <v>17</v>
      </c>
      <c r="AZ82" s="13" t="s">
        <v>47</v>
      </c>
      <c r="BA82" s="24">
        <v>0</v>
      </c>
      <c r="BB82" s="24">
        <v>0</v>
      </c>
      <c r="BC82" s="24">
        <v>0</v>
      </c>
      <c r="BD82" s="24">
        <v>0</v>
      </c>
      <c r="BE82" s="24">
        <v>0</v>
      </c>
      <c r="BF82" s="24">
        <v>0</v>
      </c>
      <c r="BG82" s="24">
        <v>0</v>
      </c>
      <c r="BH82" s="24">
        <v>0</v>
      </c>
      <c r="BI82" s="24">
        <v>0</v>
      </c>
      <c r="BJ82" s="24">
        <v>0</v>
      </c>
      <c r="BK82" s="24">
        <v>0</v>
      </c>
      <c r="BL82" s="24">
        <v>0</v>
      </c>
    </row>
    <row r="83" spans="2:64" ht="46.5" x14ac:dyDescent="0.35">
      <c r="B83" s="63"/>
      <c r="C83" s="11" t="s">
        <v>26</v>
      </c>
      <c r="D83" s="14">
        <v>2022</v>
      </c>
      <c r="E83" s="14">
        <v>2023</v>
      </c>
      <c r="F83" s="14">
        <v>2024</v>
      </c>
      <c r="G83" s="14">
        <v>2022</v>
      </c>
      <c r="H83" s="14">
        <v>2023</v>
      </c>
      <c r="I83" s="14">
        <v>2024</v>
      </c>
      <c r="J83" s="14">
        <v>2022</v>
      </c>
      <c r="K83" s="14">
        <v>2023</v>
      </c>
      <c r="L83" s="14">
        <v>2024</v>
      </c>
      <c r="M83" s="14">
        <v>2022</v>
      </c>
      <c r="N83" s="14">
        <v>2023</v>
      </c>
      <c r="O83" s="14">
        <v>2024</v>
      </c>
      <c r="T83" s="12"/>
      <c r="U83" s="23" t="s">
        <v>30</v>
      </c>
      <c r="V83" s="20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2"/>
      <c r="AJ83" s="12"/>
      <c r="AK83" s="23" t="s">
        <v>30</v>
      </c>
      <c r="AL83" s="20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2"/>
      <c r="AY83" s="12">
        <v>18</v>
      </c>
      <c r="AZ83" s="13" t="s">
        <v>33</v>
      </c>
      <c r="BA83" s="25">
        <v>0</v>
      </c>
      <c r="BB83" s="25">
        <v>0</v>
      </c>
      <c r="BC83" s="25">
        <v>0</v>
      </c>
      <c r="BD83" s="25">
        <v>0</v>
      </c>
      <c r="BE83" s="25">
        <v>0</v>
      </c>
      <c r="BF83" s="25">
        <v>0</v>
      </c>
      <c r="BG83" s="25">
        <v>0</v>
      </c>
      <c r="BH83" s="25">
        <v>0</v>
      </c>
      <c r="BI83" s="25">
        <v>0</v>
      </c>
      <c r="BJ83" s="25">
        <v>0</v>
      </c>
      <c r="BK83" s="25">
        <v>0</v>
      </c>
      <c r="BL83" s="25">
        <v>0</v>
      </c>
    </row>
    <row r="84" spans="2:64" ht="77.5" x14ac:dyDescent="0.35">
      <c r="B84" s="12">
        <v>1</v>
      </c>
      <c r="C84" s="18" t="s">
        <v>49</v>
      </c>
      <c r="D84" s="12">
        <v>1</v>
      </c>
      <c r="E84" s="12">
        <v>1</v>
      </c>
      <c r="F84" s="12">
        <v>1</v>
      </c>
      <c r="G84" s="12">
        <v>1</v>
      </c>
      <c r="H84" s="12">
        <v>1</v>
      </c>
      <c r="I84" s="12">
        <v>1</v>
      </c>
      <c r="J84" s="12">
        <v>1</v>
      </c>
      <c r="K84" s="12">
        <v>1</v>
      </c>
      <c r="L84" s="12">
        <v>1</v>
      </c>
      <c r="M84" s="12">
        <v>0</v>
      </c>
      <c r="N84" s="12">
        <v>1</v>
      </c>
      <c r="O84" s="12">
        <v>1</v>
      </c>
      <c r="T84" s="12">
        <v>17</v>
      </c>
      <c r="U84" s="13" t="s">
        <v>47</v>
      </c>
      <c r="V84" s="24">
        <v>0</v>
      </c>
      <c r="W84" s="24">
        <v>0</v>
      </c>
      <c r="X84" s="24">
        <v>0</v>
      </c>
      <c r="Y84" s="24">
        <v>0</v>
      </c>
      <c r="Z84" s="24">
        <v>0</v>
      </c>
      <c r="AA84" s="24">
        <v>0</v>
      </c>
      <c r="AB84" s="24">
        <v>0</v>
      </c>
      <c r="AC84" s="24">
        <v>0</v>
      </c>
      <c r="AD84" s="24">
        <v>0</v>
      </c>
      <c r="AE84" s="24">
        <v>0</v>
      </c>
      <c r="AF84" s="24">
        <v>0</v>
      </c>
      <c r="AG84" s="24">
        <v>0</v>
      </c>
      <c r="AJ84" s="12">
        <v>17</v>
      </c>
      <c r="AK84" s="13" t="s">
        <v>47</v>
      </c>
      <c r="AL84" s="24">
        <v>0</v>
      </c>
      <c r="AM84" s="24">
        <v>0</v>
      </c>
      <c r="AN84" s="24">
        <v>0</v>
      </c>
      <c r="AO84" s="24">
        <v>0</v>
      </c>
      <c r="AP84" s="24">
        <v>0</v>
      </c>
      <c r="AQ84" s="24">
        <v>0</v>
      </c>
      <c r="AR84" s="24">
        <v>0</v>
      </c>
      <c r="AS84" s="24">
        <v>0</v>
      </c>
      <c r="AT84" s="24">
        <v>0</v>
      </c>
      <c r="AU84" s="24">
        <v>0</v>
      </c>
      <c r="AV84" s="24">
        <v>0</v>
      </c>
      <c r="AW84" s="24">
        <v>0</v>
      </c>
      <c r="AY84" s="15"/>
      <c r="AZ84" s="37" t="s">
        <v>31</v>
      </c>
      <c r="BA84" s="17">
        <f t="shared" ref="BA84" si="89">BA62+BA63+BA65+BA66+BA67+BA68+BA69+BA70+BA71+BA73+BA74+BA75+BA77+BA78+BA79+BA80+BA82+BA83</f>
        <v>13</v>
      </c>
      <c r="BB84" s="17">
        <f t="shared" ref="BB84" si="90">BB62+BB63+BB65+BB66+BB67+BB68+BB69+BB70+BB71+BB73+BB74+BB75+BB77+BB78+BB79+BB80+BB82+BB83</f>
        <v>13</v>
      </c>
      <c r="BC84" s="17">
        <f t="shared" ref="BC84" si="91">BC62+BC63+BC65+BC66+BC67+BC68+BC69+BC70+BC71+BC73+BC74+BC75+BC77+BC78+BC79+BC80+BC82+BC83</f>
        <v>13</v>
      </c>
      <c r="BD84" s="17">
        <f>BD62+BD63+BD65+BD66+BD67+BD68+BD69+BD70+BD71+BD73+BD74+BD75+BD77+BD78+BD79+BD80+BD82+BD83</f>
        <v>13</v>
      </c>
      <c r="BE84" s="17">
        <f>BE62+BE63+BE65+BE66+BE67+BE68+BE69+BE70+BE71+BE73+BE74+BE75+BE77+BE78+BE79+BE80+BE82+BE83</f>
        <v>13</v>
      </c>
      <c r="BF84" s="17">
        <f t="shared" ref="BF84" si="92">BF62+BF63+BF65+BF66+BF67+BF68+BF69+BF70+BF71+BF73+BF74+BF75+BF77+BF78+BF79+BF80+BF82+BF83</f>
        <v>13</v>
      </c>
      <c r="BG84" s="17">
        <f t="shared" ref="BG84" si="93">BG62+BG63+BG65+BG66+BG67+BG68+BG69+BG70+BG71+BG73+BG74+BG75+BG77+BG78+BG79+BG80+BG82+BG83</f>
        <v>12</v>
      </c>
      <c r="BH84" s="17">
        <f t="shared" ref="BH84" si="94">BH62+BH63+BH65+BH66+BH67+BH68+BH69+BH70+BH71+BH73+BH74+BH75+BH77+BH78+BH79+BH80+BH82+BH83</f>
        <v>12</v>
      </c>
      <c r="BI84" s="17">
        <f t="shared" ref="BI84" si="95">BI62+BI63+BI65+BI66+BI67+BI68+BI69+BI70+BI71+BI73+BI74+BI75+BI77+BI78+BI79+BI80+BI82+BI83</f>
        <v>13</v>
      </c>
      <c r="BJ84" s="17">
        <f t="shared" ref="BJ84" si="96">BJ62+BJ63+BJ65+BJ66+BJ67+BJ68+BJ69+BJ70+BJ71+BJ73+BJ74+BJ75+BJ77+BJ78+BJ79+BJ80+BJ82+BJ83</f>
        <v>14</v>
      </c>
      <c r="BK84" s="17">
        <f t="shared" ref="BK84" si="97">BK62+BK63+BK65+BK66+BK67+BK68+BK69+BK70+BK71+BK73+BK74+BK75+BK77+BK78+BK79+BK80+BK82+BK83</f>
        <v>14</v>
      </c>
      <c r="BL84" s="17">
        <f t="shared" ref="BL84" si="98">BL62+BL63+BL65+BL66+BL67+BL68+BL69+BL70+BL71+BL73+BL74+BL75+BL77+BL78+BL79+BL80+BL82+BL83</f>
        <v>14</v>
      </c>
    </row>
    <row r="85" spans="2:64" ht="77.5" x14ac:dyDescent="0.35">
      <c r="B85" s="12">
        <v>2</v>
      </c>
      <c r="C85" s="13" t="s">
        <v>34</v>
      </c>
      <c r="D85" s="25">
        <v>1</v>
      </c>
      <c r="E85" s="25">
        <v>1</v>
      </c>
      <c r="F85" s="25">
        <v>1</v>
      </c>
      <c r="G85" s="25">
        <v>0</v>
      </c>
      <c r="H85" s="25">
        <v>1</v>
      </c>
      <c r="I85" s="25">
        <v>1</v>
      </c>
      <c r="J85" s="25">
        <v>1</v>
      </c>
      <c r="K85" s="25">
        <v>1</v>
      </c>
      <c r="L85" s="25">
        <v>1</v>
      </c>
      <c r="M85" s="25">
        <v>0</v>
      </c>
      <c r="N85" s="25">
        <v>1</v>
      </c>
      <c r="O85" s="25">
        <v>1</v>
      </c>
      <c r="T85" s="12">
        <v>18</v>
      </c>
      <c r="U85" s="13" t="s">
        <v>33</v>
      </c>
      <c r="V85" s="25">
        <v>0</v>
      </c>
      <c r="W85" s="25">
        <v>0</v>
      </c>
      <c r="X85" s="25">
        <v>0</v>
      </c>
      <c r="Y85" s="25">
        <v>0</v>
      </c>
      <c r="Z85" s="25">
        <v>0</v>
      </c>
      <c r="AA85" s="25">
        <v>0</v>
      </c>
      <c r="AB85" s="25">
        <v>0</v>
      </c>
      <c r="AC85" s="25">
        <v>0</v>
      </c>
      <c r="AD85" s="25">
        <v>0</v>
      </c>
      <c r="AE85" s="25">
        <v>0</v>
      </c>
      <c r="AF85" s="25">
        <v>0</v>
      </c>
      <c r="AG85" s="25">
        <v>0</v>
      </c>
      <c r="AJ85" s="12">
        <v>18</v>
      </c>
      <c r="AK85" s="13" t="s">
        <v>33</v>
      </c>
      <c r="AL85" s="25">
        <v>0</v>
      </c>
      <c r="AM85" s="25">
        <v>0</v>
      </c>
      <c r="AN85" s="25">
        <v>0</v>
      </c>
      <c r="AO85" s="25">
        <v>0</v>
      </c>
      <c r="AP85" s="25">
        <v>0</v>
      </c>
      <c r="AQ85" s="25">
        <v>0</v>
      </c>
      <c r="AR85" s="25">
        <v>0</v>
      </c>
      <c r="AS85" s="25">
        <v>0</v>
      </c>
      <c r="AT85" s="25">
        <v>0</v>
      </c>
      <c r="AU85" s="25">
        <v>0</v>
      </c>
      <c r="AV85" s="25">
        <v>0</v>
      </c>
      <c r="AW85" s="25">
        <v>0</v>
      </c>
      <c r="AY85" s="16" t="s">
        <v>32</v>
      </c>
      <c r="AZ85" s="17"/>
      <c r="BA85" s="30">
        <f t="shared" ref="BA85" si="99">BA84/18</f>
        <v>0.72222222222222221</v>
      </c>
      <c r="BB85" s="30">
        <f t="shared" ref="BB85" si="100">BB84/18</f>
        <v>0.72222222222222221</v>
      </c>
      <c r="BC85" s="30">
        <f t="shared" ref="BC85" si="101">BC84/18</f>
        <v>0.72222222222222221</v>
      </c>
      <c r="BD85" s="30">
        <f>BD84/18</f>
        <v>0.72222222222222221</v>
      </c>
      <c r="BE85" s="30">
        <f t="shared" ref="BE85" si="102">BE84/18</f>
        <v>0.72222222222222221</v>
      </c>
      <c r="BF85" s="30">
        <f t="shared" ref="BF85" si="103">BF84/18</f>
        <v>0.72222222222222221</v>
      </c>
      <c r="BG85" s="30">
        <f t="shared" ref="BG85" si="104">BG84/18</f>
        <v>0.66666666666666663</v>
      </c>
      <c r="BH85" s="30">
        <f t="shared" ref="BH85" si="105">BH84/18</f>
        <v>0.66666666666666663</v>
      </c>
      <c r="BI85" s="30">
        <f t="shared" ref="BI85" si="106">BI84/18</f>
        <v>0.72222222222222221</v>
      </c>
      <c r="BJ85" s="30">
        <f t="shared" ref="BJ85" si="107">BJ84/18</f>
        <v>0.77777777777777779</v>
      </c>
      <c r="BK85" s="30">
        <f t="shared" ref="BK85" si="108">BK84/18</f>
        <v>0.77777777777777779</v>
      </c>
      <c r="BL85" s="30">
        <f t="shared" ref="BL85" si="109">BL84/18</f>
        <v>0.77777777777777779</v>
      </c>
    </row>
    <row r="86" spans="2:64" ht="30.5" x14ac:dyDescent="0.35">
      <c r="B86" s="12"/>
      <c r="C86" s="19" t="s">
        <v>27</v>
      </c>
      <c r="D86" s="20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2"/>
      <c r="T86" s="15"/>
      <c r="U86" s="37" t="s">
        <v>31</v>
      </c>
      <c r="V86" s="17">
        <f t="shared" ref="V86:AF86" si="110">V64+V65+V67+V68+V69+V70+V71+V72+V73+V75+V76+V77+V79+V80+V81+V82+V84+V85</f>
        <v>11</v>
      </c>
      <c r="W86" s="17">
        <f t="shared" si="110"/>
        <v>11</v>
      </c>
      <c r="X86" s="17">
        <f t="shared" si="110"/>
        <v>11</v>
      </c>
      <c r="Y86" s="17">
        <f t="shared" si="110"/>
        <v>12</v>
      </c>
      <c r="Z86" s="17">
        <f t="shared" si="110"/>
        <v>13</v>
      </c>
      <c r="AA86" s="17">
        <f t="shared" si="110"/>
        <v>13</v>
      </c>
      <c r="AB86" s="17">
        <f t="shared" si="110"/>
        <v>11</v>
      </c>
      <c r="AC86" s="17">
        <f t="shared" si="110"/>
        <v>11</v>
      </c>
      <c r="AD86" s="17">
        <f t="shared" si="110"/>
        <v>12</v>
      </c>
      <c r="AE86" s="17">
        <f t="shared" si="110"/>
        <v>14</v>
      </c>
      <c r="AF86" s="17">
        <f t="shared" si="110"/>
        <v>14</v>
      </c>
      <c r="AG86" s="17">
        <f t="shared" ref="AG86" si="111">AG64+AG65+AG67+AG68+AG69+AG70+AG71+AG72+AG73+AG75+AG76+AG77+AG79+AG80+AG81+AG82+AG84+AG85</f>
        <v>14</v>
      </c>
      <c r="AJ86" s="15"/>
      <c r="AK86" s="37" t="s">
        <v>31</v>
      </c>
      <c r="AL86" s="17">
        <f t="shared" ref="AL86" si="112">AL64+AL65+AL67+AL68+AL69+AL70+AL71+AL72+AL73+AL75+AL76+AL77+AL79+AL80+AL81+AL82+AL84+AL85</f>
        <v>12</v>
      </c>
      <c r="AM86" s="17">
        <f t="shared" ref="AM86" si="113">AM64+AM65+AM67+AM68+AM69+AM70+AM71+AM72+AM73+AM75+AM76+AM77+AM79+AM80+AM81+AM82+AM84+AM85</f>
        <v>12</v>
      </c>
      <c r="AN86" s="17">
        <f t="shared" ref="AN86" si="114">AN64+AN65+AN67+AN68+AN69+AN70+AN71+AN72+AN73+AN75+AN76+AN77+AN79+AN80+AN81+AN82+AN84+AN85</f>
        <v>12</v>
      </c>
      <c r="AO86" s="17">
        <f t="shared" ref="AO86" si="115">AO64+AO65+AO67+AO68+AO69+AO70+AO71+AO72+AO73+AO75+AO76+AO77+AO79+AO80+AO81+AO82+AO84+AO85</f>
        <v>11</v>
      </c>
      <c r="AP86" s="17">
        <f t="shared" ref="AP86" si="116">AP64+AP65+AP67+AP68+AP69+AP70+AP71+AP72+AP73+AP75+AP76+AP77+AP79+AP80+AP81+AP82+AP84+AP85</f>
        <v>11</v>
      </c>
      <c r="AQ86" s="17">
        <f t="shared" ref="AQ86" si="117">AQ64+AQ65+AQ67+AQ68+AQ69+AQ70+AQ71+AQ72+AQ73+AQ75+AQ76+AQ77+AQ79+AQ80+AQ81+AQ82+AQ84+AQ85</f>
        <v>11</v>
      </c>
      <c r="AR86" s="17">
        <f t="shared" ref="AR86" si="118">AR64+AR65+AR67+AR68+AR69+AR70+AR71+AR72+AR73+AR75+AR76+AR77+AR79+AR80+AR81+AR82+AR84+AR85</f>
        <v>11</v>
      </c>
      <c r="AS86" s="17">
        <f t="shared" ref="AS86" si="119">AS64+AS65+AS67+AS68+AS69+AS70+AS71+AS72+AS73+AS75+AS76+AS77+AS79+AS80+AS81+AS82+AS84+AS85</f>
        <v>11</v>
      </c>
      <c r="AT86" s="17">
        <f t="shared" ref="AT86" si="120">AT64+AT65+AT67+AT68+AT69+AT70+AT71+AT72+AT73+AT75+AT76+AT77+AT79+AT80+AT81+AT82+AT84+AT85</f>
        <v>11</v>
      </c>
      <c r="AU86" s="17">
        <f t="shared" ref="AU86" si="121">AU64+AU65+AU67+AU68+AU69+AU70+AU71+AU72+AU73+AU75+AU76+AU77+AU79+AU80+AU81+AU82+AU84+AU85</f>
        <v>11</v>
      </c>
      <c r="AV86" s="17">
        <f t="shared" ref="AV86:AW86" si="122">AV64+AV65+AV67+AV68+AV69+AV70+AV71+AV72+AV73+AV75+AV76+AV77+AV79+AV80+AV81+AV82+AV84+AV85</f>
        <v>11</v>
      </c>
      <c r="AW86" s="17">
        <f t="shared" si="122"/>
        <v>11</v>
      </c>
    </row>
    <row r="87" spans="2:64" ht="70" customHeight="1" x14ac:dyDescent="0.35">
      <c r="B87" s="12">
        <v>3</v>
      </c>
      <c r="C87" s="13" t="s">
        <v>48</v>
      </c>
      <c r="D87" s="24">
        <v>1</v>
      </c>
      <c r="E87" s="24">
        <v>1</v>
      </c>
      <c r="F87" s="24">
        <v>1</v>
      </c>
      <c r="G87" s="24">
        <v>1</v>
      </c>
      <c r="H87" s="24">
        <v>1</v>
      </c>
      <c r="I87" s="24">
        <v>0</v>
      </c>
      <c r="J87" s="24">
        <v>0</v>
      </c>
      <c r="K87" s="24">
        <v>0</v>
      </c>
      <c r="L87" s="24">
        <v>0</v>
      </c>
      <c r="M87" s="24">
        <v>1</v>
      </c>
      <c r="N87" s="24">
        <v>0</v>
      </c>
      <c r="O87" s="24">
        <v>1</v>
      </c>
      <c r="T87" s="16" t="s">
        <v>32</v>
      </c>
      <c r="U87" s="17"/>
      <c r="V87" s="30">
        <f t="shared" ref="V87:AF87" si="123">V86/18</f>
        <v>0.61111111111111116</v>
      </c>
      <c r="W87" s="30">
        <f t="shared" si="123"/>
        <v>0.61111111111111116</v>
      </c>
      <c r="X87" s="30">
        <f t="shared" si="123"/>
        <v>0.61111111111111116</v>
      </c>
      <c r="Y87" s="30">
        <f t="shared" si="123"/>
        <v>0.66666666666666663</v>
      </c>
      <c r="Z87" s="30">
        <f t="shared" si="123"/>
        <v>0.72222222222222221</v>
      </c>
      <c r="AA87" s="30">
        <f t="shared" si="123"/>
        <v>0.72222222222222221</v>
      </c>
      <c r="AB87" s="30">
        <f t="shared" si="123"/>
        <v>0.61111111111111116</v>
      </c>
      <c r="AC87" s="30">
        <f t="shared" si="123"/>
        <v>0.61111111111111116</v>
      </c>
      <c r="AD87" s="30">
        <f t="shared" si="123"/>
        <v>0.66666666666666663</v>
      </c>
      <c r="AE87" s="30">
        <f t="shared" si="123"/>
        <v>0.77777777777777779</v>
      </c>
      <c r="AF87" s="30">
        <f t="shared" si="123"/>
        <v>0.77777777777777779</v>
      </c>
      <c r="AG87" s="30">
        <f t="shared" ref="AG87" si="124">AG86/18</f>
        <v>0.77777777777777779</v>
      </c>
      <c r="AJ87" s="16" t="s">
        <v>32</v>
      </c>
      <c r="AK87" s="17"/>
      <c r="AL87" s="30">
        <f t="shared" ref="AL87" si="125">AL86/18</f>
        <v>0.66666666666666663</v>
      </c>
      <c r="AM87" s="30">
        <f t="shared" ref="AM87" si="126">AM86/18</f>
        <v>0.66666666666666663</v>
      </c>
      <c r="AN87" s="30">
        <f t="shared" ref="AN87" si="127">AN86/18</f>
        <v>0.66666666666666663</v>
      </c>
      <c r="AO87" s="30">
        <f t="shared" ref="AO87" si="128">AO86/18</f>
        <v>0.61111111111111116</v>
      </c>
      <c r="AP87" s="30">
        <f t="shared" ref="AP87" si="129">AP86/18</f>
        <v>0.61111111111111116</v>
      </c>
      <c r="AQ87" s="30">
        <f t="shared" ref="AQ87" si="130">AQ86/18</f>
        <v>0.61111111111111116</v>
      </c>
      <c r="AR87" s="30">
        <f t="shared" ref="AR87" si="131">AR86/18</f>
        <v>0.61111111111111116</v>
      </c>
      <c r="AS87" s="30">
        <f t="shared" ref="AS87" si="132">AS86/18</f>
        <v>0.61111111111111116</v>
      </c>
      <c r="AT87" s="30">
        <f t="shared" ref="AT87" si="133">AT86/18</f>
        <v>0.61111111111111116</v>
      </c>
      <c r="AU87" s="30">
        <f t="shared" ref="AU87" si="134">AU86/18</f>
        <v>0.61111111111111116</v>
      </c>
      <c r="AV87" s="30">
        <f t="shared" ref="AV87:AW87" si="135">AV86/18</f>
        <v>0.61111111111111116</v>
      </c>
      <c r="AW87" s="30">
        <f t="shared" si="135"/>
        <v>0.61111111111111116</v>
      </c>
      <c r="AY87" s="35" t="s">
        <v>0</v>
      </c>
      <c r="AZ87" s="10" t="s">
        <v>25</v>
      </c>
      <c r="BA87" s="57" t="s">
        <v>164</v>
      </c>
      <c r="BB87" s="58"/>
      <c r="BC87" s="59"/>
      <c r="BD87" s="57" t="s">
        <v>167</v>
      </c>
      <c r="BE87" s="58"/>
      <c r="BF87" s="59"/>
      <c r="BG87" s="57"/>
      <c r="BH87" s="58"/>
      <c r="BI87" s="59"/>
      <c r="BJ87" s="57"/>
      <c r="BK87" s="58"/>
      <c r="BL87" s="59"/>
    </row>
    <row r="88" spans="2:64" ht="46.5" x14ac:dyDescent="0.35">
      <c r="B88" s="12">
        <v>4</v>
      </c>
      <c r="C88" s="13" t="s">
        <v>35</v>
      </c>
      <c r="D88" s="12">
        <v>1</v>
      </c>
      <c r="E88" s="12">
        <v>1</v>
      </c>
      <c r="F88" s="12">
        <v>1</v>
      </c>
      <c r="G88" s="12">
        <v>1</v>
      </c>
      <c r="H88" s="12">
        <v>1</v>
      </c>
      <c r="I88" s="12">
        <v>1</v>
      </c>
      <c r="J88" s="12">
        <v>0</v>
      </c>
      <c r="K88" s="12">
        <v>0</v>
      </c>
      <c r="L88" s="12">
        <v>0</v>
      </c>
      <c r="M88" s="12">
        <v>1</v>
      </c>
      <c r="N88" s="12">
        <v>1</v>
      </c>
      <c r="O88" s="12">
        <v>1</v>
      </c>
      <c r="AK88" s="50" t="s">
        <v>169</v>
      </c>
      <c r="AY88" s="36"/>
      <c r="AZ88" s="11" t="s">
        <v>26</v>
      </c>
      <c r="BA88" s="14">
        <v>2022</v>
      </c>
      <c r="BB88" s="14">
        <v>2023</v>
      </c>
      <c r="BC88" s="14">
        <v>2024</v>
      </c>
      <c r="BD88" s="14">
        <v>2022</v>
      </c>
      <c r="BE88" s="14">
        <v>2023</v>
      </c>
      <c r="BF88" s="14">
        <v>2024</v>
      </c>
      <c r="BG88" s="14">
        <v>2022</v>
      </c>
      <c r="BH88" s="14">
        <v>2023</v>
      </c>
      <c r="BI88" s="14">
        <v>2024</v>
      </c>
      <c r="BJ88" s="14">
        <v>2022</v>
      </c>
      <c r="BK88" s="14">
        <v>2023</v>
      </c>
      <c r="BL88" s="14">
        <v>2024</v>
      </c>
    </row>
    <row r="89" spans="2:64" ht="46.5" x14ac:dyDescent="0.35">
      <c r="B89" s="12">
        <v>5</v>
      </c>
      <c r="C89" s="13" t="s">
        <v>36</v>
      </c>
      <c r="D89" s="12">
        <v>1</v>
      </c>
      <c r="E89" s="12">
        <v>1</v>
      </c>
      <c r="F89" s="12">
        <v>1</v>
      </c>
      <c r="G89" s="12">
        <v>1</v>
      </c>
      <c r="H89" s="12">
        <v>1</v>
      </c>
      <c r="I89" s="12">
        <v>1</v>
      </c>
      <c r="J89" s="12">
        <v>1</v>
      </c>
      <c r="K89" s="12">
        <v>1</v>
      </c>
      <c r="L89" s="12">
        <v>1</v>
      </c>
      <c r="M89" s="12">
        <v>1</v>
      </c>
      <c r="N89" s="12">
        <v>1</v>
      </c>
      <c r="O89" s="12">
        <v>1</v>
      </c>
      <c r="T89" s="35" t="s">
        <v>0</v>
      </c>
      <c r="U89" s="10" t="s">
        <v>25</v>
      </c>
      <c r="V89" s="57" t="s">
        <v>121</v>
      </c>
      <c r="W89" s="58"/>
      <c r="X89" s="59"/>
      <c r="Y89" s="57" t="s">
        <v>122</v>
      </c>
      <c r="Z89" s="58"/>
      <c r="AA89" s="59"/>
      <c r="AB89" s="57" t="s">
        <v>123</v>
      </c>
      <c r="AC89" s="58"/>
      <c r="AD89" s="59"/>
      <c r="AE89" s="57" t="s">
        <v>160</v>
      </c>
      <c r="AF89" s="58"/>
      <c r="AG89" s="59"/>
      <c r="AJ89" s="35" t="s">
        <v>0</v>
      </c>
      <c r="AK89" s="10" t="s">
        <v>25</v>
      </c>
      <c r="AL89" s="57" t="s">
        <v>89</v>
      </c>
      <c r="AM89" s="58"/>
      <c r="AN89" s="59"/>
      <c r="AO89" s="57" t="s">
        <v>153</v>
      </c>
      <c r="AP89" s="58"/>
      <c r="AQ89" s="59"/>
      <c r="AR89" s="57" t="s">
        <v>168</v>
      </c>
      <c r="AS89" s="58"/>
      <c r="AT89" s="59"/>
      <c r="AU89" s="57"/>
      <c r="AV89" s="58"/>
      <c r="AW89" s="59"/>
      <c r="AY89" s="12">
        <v>1</v>
      </c>
      <c r="AZ89" s="18" t="s">
        <v>49</v>
      </c>
      <c r="BA89" s="12">
        <v>0</v>
      </c>
      <c r="BB89" s="12">
        <v>1</v>
      </c>
      <c r="BC89" s="12">
        <v>1</v>
      </c>
      <c r="BD89" s="12">
        <v>1</v>
      </c>
      <c r="BE89" s="12">
        <v>1</v>
      </c>
      <c r="BF89" s="12">
        <v>1</v>
      </c>
      <c r="BG89" s="12"/>
      <c r="BH89" s="12"/>
      <c r="BI89" s="12"/>
      <c r="BJ89" s="12"/>
      <c r="BK89" s="12"/>
      <c r="BL89" s="12"/>
    </row>
    <row r="90" spans="2:64" ht="31" x14ac:dyDescent="0.35">
      <c r="B90" s="12">
        <v>6</v>
      </c>
      <c r="C90" s="13" t="s">
        <v>37</v>
      </c>
      <c r="D90" s="12">
        <v>1</v>
      </c>
      <c r="E90" s="12">
        <v>1</v>
      </c>
      <c r="F90" s="12">
        <v>1</v>
      </c>
      <c r="G90" s="12">
        <v>1</v>
      </c>
      <c r="H90" s="12">
        <v>1</v>
      </c>
      <c r="I90" s="12">
        <v>1</v>
      </c>
      <c r="J90" s="12">
        <v>1</v>
      </c>
      <c r="K90" s="12">
        <v>1</v>
      </c>
      <c r="L90" s="12">
        <v>1</v>
      </c>
      <c r="M90" s="12">
        <v>1</v>
      </c>
      <c r="N90" s="12">
        <v>1</v>
      </c>
      <c r="O90" s="12">
        <v>1</v>
      </c>
      <c r="T90" s="36"/>
      <c r="U90" s="11" t="s">
        <v>26</v>
      </c>
      <c r="V90" s="14">
        <v>2022</v>
      </c>
      <c r="W90" s="14">
        <v>2023</v>
      </c>
      <c r="X90" s="14">
        <v>2024</v>
      </c>
      <c r="Y90" s="14">
        <v>2022</v>
      </c>
      <c r="Z90" s="14">
        <v>2023</v>
      </c>
      <c r="AA90" s="14">
        <v>2024</v>
      </c>
      <c r="AB90" s="14">
        <v>2022</v>
      </c>
      <c r="AC90" s="14">
        <v>2023</v>
      </c>
      <c r="AD90" s="14">
        <v>2024</v>
      </c>
      <c r="AE90" s="14">
        <v>2022</v>
      </c>
      <c r="AF90" s="14">
        <v>2023</v>
      </c>
      <c r="AG90" s="14">
        <v>2024</v>
      </c>
      <c r="AJ90" s="36"/>
      <c r="AK90" s="11" t="s">
        <v>26</v>
      </c>
      <c r="AL90" s="14">
        <v>2022</v>
      </c>
      <c r="AM90" s="14">
        <v>2023</v>
      </c>
      <c r="AN90" s="14">
        <v>2024</v>
      </c>
      <c r="AO90" s="14">
        <v>2022</v>
      </c>
      <c r="AP90" s="14">
        <v>2023</v>
      </c>
      <c r="AQ90" s="14">
        <v>2024</v>
      </c>
      <c r="AR90" s="14">
        <v>2022</v>
      </c>
      <c r="AS90" s="14">
        <v>2023</v>
      </c>
      <c r="AT90" s="14">
        <v>2024</v>
      </c>
      <c r="AU90" s="14">
        <v>2022</v>
      </c>
      <c r="AV90" s="14">
        <v>2023</v>
      </c>
      <c r="AW90" s="14">
        <v>2024</v>
      </c>
      <c r="AY90" s="12">
        <v>2</v>
      </c>
      <c r="AZ90" s="13" t="s">
        <v>34</v>
      </c>
      <c r="BA90" s="25">
        <v>0</v>
      </c>
      <c r="BB90" s="25">
        <v>0</v>
      </c>
      <c r="BC90" s="25">
        <v>0</v>
      </c>
      <c r="BD90" s="25">
        <v>1</v>
      </c>
      <c r="BE90" s="25">
        <v>1</v>
      </c>
      <c r="BF90" s="25">
        <v>1</v>
      </c>
      <c r="BG90" s="25"/>
      <c r="BH90" s="25"/>
      <c r="BI90" s="25"/>
      <c r="BJ90" s="25"/>
      <c r="BK90" s="25"/>
      <c r="BL90" s="25"/>
    </row>
    <row r="91" spans="2:64" ht="77.5" x14ac:dyDescent="0.35">
      <c r="B91" s="12">
        <v>7</v>
      </c>
      <c r="C91" s="13" t="s">
        <v>38</v>
      </c>
      <c r="D91" s="12">
        <v>1</v>
      </c>
      <c r="E91" s="12">
        <v>1</v>
      </c>
      <c r="F91" s="12">
        <v>1</v>
      </c>
      <c r="G91" s="12">
        <v>1</v>
      </c>
      <c r="H91" s="12">
        <v>1</v>
      </c>
      <c r="I91" s="12">
        <v>1</v>
      </c>
      <c r="J91" s="12">
        <v>1</v>
      </c>
      <c r="K91" s="12">
        <v>1</v>
      </c>
      <c r="L91" s="12">
        <v>1</v>
      </c>
      <c r="M91" s="12">
        <v>1</v>
      </c>
      <c r="N91" s="12">
        <v>1</v>
      </c>
      <c r="O91" s="12">
        <v>1</v>
      </c>
      <c r="T91" s="12">
        <v>1</v>
      </c>
      <c r="U91" s="18" t="s">
        <v>49</v>
      </c>
      <c r="V91" s="12">
        <v>1</v>
      </c>
      <c r="W91" s="12">
        <v>1</v>
      </c>
      <c r="X91" s="12">
        <v>1</v>
      </c>
      <c r="Y91" s="12">
        <v>0</v>
      </c>
      <c r="Z91" s="12">
        <v>0</v>
      </c>
      <c r="AA91" s="12">
        <v>0</v>
      </c>
      <c r="AB91" s="12">
        <v>0</v>
      </c>
      <c r="AC91" s="12">
        <v>0</v>
      </c>
      <c r="AD91" s="12">
        <v>0</v>
      </c>
      <c r="AE91" s="12">
        <v>0</v>
      </c>
      <c r="AF91" s="12">
        <v>0</v>
      </c>
      <c r="AG91" s="12">
        <v>0</v>
      </c>
      <c r="AJ91" s="12">
        <v>1</v>
      </c>
      <c r="AK91" s="18" t="s">
        <v>49</v>
      </c>
      <c r="AL91" s="12">
        <v>1</v>
      </c>
      <c r="AM91" s="12">
        <v>1</v>
      </c>
      <c r="AN91" s="12">
        <v>1</v>
      </c>
      <c r="AO91" s="12">
        <v>0</v>
      </c>
      <c r="AP91" s="12">
        <v>1</v>
      </c>
      <c r="AQ91" s="12">
        <v>1</v>
      </c>
      <c r="AR91" s="12">
        <v>1</v>
      </c>
      <c r="AS91" s="12">
        <v>1</v>
      </c>
      <c r="AT91" s="12">
        <v>1</v>
      </c>
      <c r="AU91" s="12"/>
      <c r="AV91" s="12"/>
      <c r="AW91" s="12"/>
      <c r="AY91" s="12"/>
      <c r="AZ91" s="19" t="s">
        <v>27</v>
      </c>
      <c r="BA91" s="20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2"/>
    </row>
    <row r="92" spans="2:64" ht="46.5" x14ac:dyDescent="0.35">
      <c r="B92" s="12">
        <v>8</v>
      </c>
      <c r="C92" s="13" t="s">
        <v>39</v>
      </c>
      <c r="D92" s="12">
        <v>1</v>
      </c>
      <c r="E92" s="12">
        <v>1</v>
      </c>
      <c r="F92" s="12">
        <v>1</v>
      </c>
      <c r="G92" s="12">
        <v>1</v>
      </c>
      <c r="H92" s="12">
        <v>1</v>
      </c>
      <c r="I92" s="12">
        <v>1</v>
      </c>
      <c r="J92" s="12">
        <v>1</v>
      </c>
      <c r="K92" s="12">
        <v>1</v>
      </c>
      <c r="L92" s="12">
        <v>1</v>
      </c>
      <c r="M92" s="12">
        <v>1</v>
      </c>
      <c r="N92" s="12">
        <v>1</v>
      </c>
      <c r="O92" s="12">
        <v>1</v>
      </c>
      <c r="T92" s="12">
        <v>2</v>
      </c>
      <c r="U92" s="13" t="s">
        <v>34</v>
      </c>
      <c r="V92" s="25">
        <v>0</v>
      </c>
      <c r="W92" s="25">
        <v>0</v>
      </c>
      <c r="X92" s="25">
        <v>0</v>
      </c>
      <c r="Y92" s="25">
        <v>0</v>
      </c>
      <c r="Z92" s="25">
        <v>0</v>
      </c>
      <c r="AA92" s="25">
        <v>0</v>
      </c>
      <c r="AB92" s="25">
        <v>0</v>
      </c>
      <c r="AC92" s="25">
        <v>0</v>
      </c>
      <c r="AD92" s="25">
        <v>0</v>
      </c>
      <c r="AE92" s="25">
        <v>0</v>
      </c>
      <c r="AF92" s="25">
        <v>0</v>
      </c>
      <c r="AG92" s="25">
        <v>0</v>
      </c>
      <c r="AJ92" s="12">
        <v>2</v>
      </c>
      <c r="AK92" s="13" t="s">
        <v>34</v>
      </c>
      <c r="AL92" s="25">
        <v>1</v>
      </c>
      <c r="AM92" s="25">
        <v>1</v>
      </c>
      <c r="AN92" s="25">
        <v>1</v>
      </c>
      <c r="AO92" s="25">
        <v>1</v>
      </c>
      <c r="AP92" s="25">
        <v>0</v>
      </c>
      <c r="AQ92" s="25">
        <v>0</v>
      </c>
      <c r="AR92" s="25">
        <v>0</v>
      </c>
      <c r="AS92" s="25">
        <v>0</v>
      </c>
      <c r="AT92" s="25">
        <v>0</v>
      </c>
      <c r="AU92" s="25"/>
      <c r="AV92" s="25"/>
      <c r="AW92" s="25"/>
      <c r="AY92" s="12">
        <v>3</v>
      </c>
      <c r="AZ92" s="13" t="s">
        <v>48</v>
      </c>
      <c r="BA92" s="24">
        <v>1</v>
      </c>
      <c r="BB92" s="24">
        <v>1</v>
      </c>
      <c r="BC92" s="24">
        <v>1</v>
      </c>
      <c r="BD92" s="24">
        <v>1</v>
      </c>
      <c r="BE92" s="24">
        <v>1</v>
      </c>
      <c r="BF92" s="24">
        <v>1</v>
      </c>
      <c r="BG92" s="24"/>
      <c r="BH92" s="24"/>
      <c r="BI92" s="24"/>
      <c r="BJ92" s="24"/>
      <c r="BK92" s="24"/>
      <c r="BL92" s="24"/>
    </row>
    <row r="93" spans="2:64" ht="31" x14ac:dyDescent="0.35">
      <c r="B93" s="12">
        <v>9</v>
      </c>
      <c r="C93" s="13" t="s">
        <v>40</v>
      </c>
      <c r="D93" s="25">
        <v>1</v>
      </c>
      <c r="E93" s="25">
        <v>1</v>
      </c>
      <c r="F93" s="25">
        <v>1</v>
      </c>
      <c r="G93" s="25">
        <v>1</v>
      </c>
      <c r="H93" s="25">
        <v>1</v>
      </c>
      <c r="I93" s="25">
        <v>1</v>
      </c>
      <c r="J93" s="25">
        <v>1</v>
      </c>
      <c r="K93" s="25">
        <v>1</v>
      </c>
      <c r="L93" s="25">
        <v>1</v>
      </c>
      <c r="M93" s="25">
        <v>1</v>
      </c>
      <c r="N93" s="25">
        <v>1</v>
      </c>
      <c r="O93" s="25">
        <v>1</v>
      </c>
      <c r="T93" s="12"/>
      <c r="U93" s="19" t="s">
        <v>27</v>
      </c>
      <c r="V93" s="20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2"/>
      <c r="AJ93" s="12"/>
      <c r="AK93" s="19" t="s">
        <v>27</v>
      </c>
      <c r="AL93" s="20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2"/>
      <c r="AY93" s="12">
        <v>4</v>
      </c>
      <c r="AZ93" s="13" t="s">
        <v>35</v>
      </c>
      <c r="BA93" s="12">
        <v>0</v>
      </c>
      <c r="BB93" s="12">
        <v>0</v>
      </c>
      <c r="BC93" s="12">
        <v>0</v>
      </c>
      <c r="BD93" s="12">
        <v>1</v>
      </c>
      <c r="BE93" s="12">
        <v>1</v>
      </c>
      <c r="BF93" s="12">
        <v>1</v>
      </c>
      <c r="BG93" s="12"/>
      <c r="BH93" s="12"/>
      <c r="BI93" s="12"/>
      <c r="BJ93" s="12"/>
      <c r="BK93" s="12"/>
      <c r="BL93" s="12"/>
    </row>
    <row r="94" spans="2:64" ht="62" x14ac:dyDescent="0.35">
      <c r="B94" s="12"/>
      <c r="C94" s="23" t="s">
        <v>28</v>
      </c>
      <c r="D94" s="20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2"/>
      <c r="T94" s="12">
        <v>3</v>
      </c>
      <c r="U94" s="13" t="s">
        <v>48</v>
      </c>
      <c r="V94" s="24">
        <v>1</v>
      </c>
      <c r="W94" s="24">
        <v>1</v>
      </c>
      <c r="X94" s="24">
        <v>1</v>
      </c>
      <c r="Y94" s="24">
        <v>0</v>
      </c>
      <c r="Z94" s="24">
        <v>0</v>
      </c>
      <c r="AA94" s="24">
        <v>0</v>
      </c>
      <c r="AB94" s="24">
        <v>0</v>
      </c>
      <c r="AC94" s="24">
        <v>0</v>
      </c>
      <c r="AD94" s="24">
        <v>0</v>
      </c>
      <c r="AE94" s="24">
        <v>0</v>
      </c>
      <c r="AF94" s="24">
        <v>0</v>
      </c>
      <c r="AG94" s="24">
        <v>0</v>
      </c>
      <c r="AJ94" s="12">
        <v>3</v>
      </c>
      <c r="AK94" s="13" t="s">
        <v>48</v>
      </c>
      <c r="AL94" s="24">
        <v>1</v>
      </c>
      <c r="AM94" s="24">
        <v>1</v>
      </c>
      <c r="AN94" s="24">
        <v>1</v>
      </c>
      <c r="AO94" s="24">
        <v>0</v>
      </c>
      <c r="AP94" s="24">
        <v>1</v>
      </c>
      <c r="AQ94" s="24">
        <v>1</v>
      </c>
      <c r="AR94" s="24">
        <v>1</v>
      </c>
      <c r="AS94" s="24">
        <v>1</v>
      </c>
      <c r="AT94" s="24">
        <v>1</v>
      </c>
      <c r="AU94" s="24"/>
      <c r="AV94" s="24"/>
      <c r="AW94" s="24"/>
      <c r="AY94" s="12">
        <v>5</v>
      </c>
      <c r="AZ94" s="13" t="s">
        <v>36</v>
      </c>
      <c r="BA94" s="12">
        <v>1</v>
      </c>
      <c r="BB94" s="12">
        <v>1</v>
      </c>
      <c r="BC94" s="12">
        <v>1</v>
      </c>
      <c r="BD94" s="12">
        <v>1</v>
      </c>
      <c r="BE94" s="12">
        <v>1</v>
      </c>
      <c r="BF94" s="12">
        <v>1</v>
      </c>
      <c r="BG94" s="12"/>
      <c r="BH94" s="12"/>
      <c r="BI94" s="12"/>
      <c r="BJ94" s="12"/>
      <c r="BK94" s="12"/>
      <c r="BL94" s="12"/>
    </row>
    <row r="95" spans="2:64" ht="62" x14ac:dyDescent="0.35">
      <c r="B95" s="12">
        <v>10</v>
      </c>
      <c r="C95" s="13" t="s">
        <v>41</v>
      </c>
      <c r="D95" s="24">
        <v>1</v>
      </c>
      <c r="E95" s="24">
        <v>1</v>
      </c>
      <c r="F95" s="24">
        <v>1</v>
      </c>
      <c r="G95" s="24">
        <v>1</v>
      </c>
      <c r="H95" s="24">
        <v>1</v>
      </c>
      <c r="I95" s="24">
        <v>1</v>
      </c>
      <c r="J95" s="24">
        <v>1</v>
      </c>
      <c r="K95" s="24">
        <v>1</v>
      </c>
      <c r="L95" s="24">
        <v>1</v>
      </c>
      <c r="M95" s="24">
        <v>1</v>
      </c>
      <c r="N95" s="24">
        <v>1</v>
      </c>
      <c r="O95" s="24">
        <v>1</v>
      </c>
      <c r="T95" s="12">
        <v>4</v>
      </c>
      <c r="U95" s="13" t="s">
        <v>35</v>
      </c>
      <c r="V95" s="12">
        <v>1</v>
      </c>
      <c r="W95" s="12">
        <v>1</v>
      </c>
      <c r="X95" s="12">
        <v>1</v>
      </c>
      <c r="Y95" s="12">
        <v>0</v>
      </c>
      <c r="Z95" s="12">
        <v>0</v>
      </c>
      <c r="AA95" s="12">
        <v>0</v>
      </c>
      <c r="AB95" s="12">
        <v>0</v>
      </c>
      <c r="AC95" s="12">
        <v>0</v>
      </c>
      <c r="AD95" s="12">
        <v>0</v>
      </c>
      <c r="AE95" s="12">
        <v>0</v>
      </c>
      <c r="AF95" s="12">
        <v>0</v>
      </c>
      <c r="AG95" s="12">
        <v>0</v>
      </c>
      <c r="AJ95" s="12">
        <v>4</v>
      </c>
      <c r="AK95" s="13" t="s">
        <v>35</v>
      </c>
      <c r="AL95" s="12">
        <v>0</v>
      </c>
      <c r="AM95" s="12">
        <v>0</v>
      </c>
      <c r="AN95" s="12">
        <v>0</v>
      </c>
      <c r="AO95" s="12">
        <v>0</v>
      </c>
      <c r="AP95" s="12">
        <v>0</v>
      </c>
      <c r="AQ95" s="12">
        <v>1</v>
      </c>
      <c r="AR95" s="12">
        <v>1</v>
      </c>
      <c r="AS95" s="12">
        <v>1</v>
      </c>
      <c r="AT95" s="12">
        <v>1</v>
      </c>
      <c r="AU95" s="12"/>
      <c r="AV95" s="12"/>
      <c r="AW95" s="12"/>
      <c r="AY95" s="12">
        <v>6</v>
      </c>
      <c r="AZ95" s="13" t="s">
        <v>37</v>
      </c>
      <c r="BA95" s="12">
        <v>1</v>
      </c>
      <c r="BB95" s="12">
        <v>1</v>
      </c>
      <c r="BC95" s="12">
        <v>1</v>
      </c>
      <c r="BD95" s="12">
        <v>1</v>
      </c>
      <c r="BE95" s="12">
        <v>1</v>
      </c>
      <c r="BF95" s="12">
        <v>1</v>
      </c>
      <c r="BG95" s="12"/>
      <c r="BH95" s="12"/>
      <c r="BI95" s="12"/>
      <c r="BJ95" s="12"/>
      <c r="BK95" s="12"/>
      <c r="BL95" s="12"/>
    </row>
    <row r="96" spans="2:64" ht="31" x14ac:dyDescent="0.35">
      <c r="B96" s="12">
        <v>11</v>
      </c>
      <c r="C96" s="13" t="s">
        <v>50</v>
      </c>
      <c r="D96" s="12">
        <v>0</v>
      </c>
      <c r="E96" s="12">
        <v>0</v>
      </c>
      <c r="F96" s="12">
        <v>0</v>
      </c>
      <c r="G96" s="12">
        <v>0</v>
      </c>
      <c r="H96" s="12">
        <v>1</v>
      </c>
      <c r="I96" s="12">
        <v>1</v>
      </c>
      <c r="J96" s="12">
        <v>1</v>
      </c>
      <c r="K96" s="12">
        <v>1</v>
      </c>
      <c r="L96" s="12">
        <v>1</v>
      </c>
      <c r="M96" s="12">
        <v>1</v>
      </c>
      <c r="N96" s="12">
        <v>1</v>
      </c>
      <c r="O96" s="12">
        <v>1</v>
      </c>
      <c r="T96" s="12">
        <v>5</v>
      </c>
      <c r="U96" s="13" t="s">
        <v>36</v>
      </c>
      <c r="V96" s="12">
        <v>1</v>
      </c>
      <c r="W96" s="12">
        <v>1</v>
      </c>
      <c r="X96" s="12">
        <v>1</v>
      </c>
      <c r="Y96" s="12">
        <v>1</v>
      </c>
      <c r="Z96" s="12">
        <v>1</v>
      </c>
      <c r="AA96" s="12">
        <v>1</v>
      </c>
      <c r="AB96" s="12">
        <v>1</v>
      </c>
      <c r="AC96" s="12">
        <v>1</v>
      </c>
      <c r="AD96" s="12">
        <v>1</v>
      </c>
      <c r="AE96" s="12">
        <v>1</v>
      </c>
      <c r="AF96" s="12">
        <v>1</v>
      </c>
      <c r="AG96" s="12">
        <v>1</v>
      </c>
      <c r="AJ96" s="12">
        <v>5</v>
      </c>
      <c r="AK96" s="13" t="s">
        <v>36</v>
      </c>
      <c r="AL96" s="12">
        <v>1</v>
      </c>
      <c r="AM96" s="12">
        <v>1</v>
      </c>
      <c r="AN96" s="12">
        <v>1</v>
      </c>
      <c r="AO96" s="12">
        <v>1</v>
      </c>
      <c r="AP96" s="12">
        <v>1</v>
      </c>
      <c r="AQ96" s="12">
        <v>1</v>
      </c>
      <c r="AR96" s="12">
        <v>1</v>
      </c>
      <c r="AS96" s="12">
        <v>1</v>
      </c>
      <c r="AT96" s="12">
        <v>1</v>
      </c>
      <c r="AU96" s="12"/>
      <c r="AV96" s="12"/>
      <c r="AW96" s="12"/>
      <c r="AY96" s="12">
        <v>7</v>
      </c>
      <c r="AZ96" s="13" t="s">
        <v>38</v>
      </c>
      <c r="BA96" s="12">
        <v>1</v>
      </c>
      <c r="BB96" s="12">
        <v>1</v>
      </c>
      <c r="BC96" s="12">
        <v>1</v>
      </c>
      <c r="BD96" s="12">
        <v>1</v>
      </c>
      <c r="BE96" s="12">
        <v>1</v>
      </c>
      <c r="BF96" s="12">
        <v>1</v>
      </c>
      <c r="BG96" s="12"/>
      <c r="BH96" s="12"/>
      <c r="BI96" s="12"/>
      <c r="BJ96" s="12"/>
      <c r="BK96" s="12"/>
      <c r="BL96" s="12"/>
    </row>
    <row r="97" spans="2:64" ht="31" x14ac:dyDescent="0.35">
      <c r="B97" s="12">
        <v>12</v>
      </c>
      <c r="C97" s="13" t="s">
        <v>42</v>
      </c>
      <c r="D97" s="25">
        <v>1</v>
      </c>
      <c r="E97" s="25">
        <v>1</v>
      </c>
      <c r="F97" s="25">
        <v>1</v>
      </c>
      <c r="G97" s="25">
        <v>1</v>
      </c>
      <c r="H97" s="25">
        <v>1</v>
      </c>
      <c r="I97" s="25">
        <v>1</v>
      </c>
      <c r="J97" s="25">
        <v>1</v>
      </c>
      <c r="K97" s="25">
        <v>1</v>
      </c>
      <c r="L97" s="25">
        <v>1</v>
      </c>
      <c r="M97" s="25">
        <v>1</v>
      </c>
      <c r="N97" s="25">
        <v>1</v>
      </c>
      <c r="O97" s="25">
        <v>1</v>
      </c>
      <c r="T97" s="12">
        <v>6</v>
      </c>
      <c r="U97" s="13" t="s">
        <v>37</v>
      </c>
      <c r="V97" s="12">
        <v>1</v>
      </c>
      <c r="W97" s="12">
        <v>1</v>
      </c>
      <c r="X97" s="12">
        <v>1</v>
      </c>
      <c r="Y97" s="12">
        <v>1</v>
      </c>
      <c r="Z97" s="12">
        <v>1</v>
      </c>
      <c r="AA97" s="12">
        <v>1</v>
      </c>
      <c r="AB97" s="12">
        <v>1</v>
      </c>
      <c r="AC97" s="12">
        <v>1</v>
      </c>
      <c r="AD97" s="12">
        <v>1</v>
      </c>
      <c r="AE97" s="12">
        <v>1</v>
      </c>
      <c r="AF97" s="12">
        <v>1</v>
      </c>
      <c r="AG97" s="12">
        <v>1</v>
      </c>
      <c r="AJ97" s="12">
        <v>6</v>
      </c>
      <c r="AK97" s="13" t="s">
        <v>37</v>
      </c>
      <c r="AL97" s="12">
        <v>1</v>
      </c>
      <c r="AM97" s="12">
        <v>1</v>
      </c>
      <c r="AN97" s="12">
        <v>1</v>
      </c>
      <c r="AO97" s="12">
        <v>1</v>
      </c>
      <c r="AP97" s="12">
        <v>1</v>
      </c>
      <c r="AQ97" s="12">
        <v>1</v>
      </c>
      <c r="AR97" s="12">
        <v>1</v>
      </c>
      <c r="AS97" s="12">
        <v>1</v>
      </c>
      <c r="AT97" s="12">
        <v>1</v>
      </c>
      <c r="AU97" s="12"/>
      <c r="AV97" s="12"/>
      <c r="AW97" s="12"/>
      <c r="AY97" s="12">
        <v>8</v>
      </c>
      <c r="AZ97" s="13" t="s">
        <v>39</v>
      </c>
      <c r="BA97" s="12">
        <v>1</v>
      </c>
      <c r="BB97" s="12">
        <v>1</v>
      </c>
      <c r="BC97" s="12">
        <v>1</v>
      </c>
      <c r="BD97" s="12">
        <v>1</v>
      </c>
      <c r="BE97" s="12">
        <v>1</v>
      </c>
      <c r="BF97" s="12">
        <v>1</v>
      </c>
      <c r="BG97" s="12"/>
      <c r="BH97" s="12"/>
      <c r="BI97" s="12"/>
      <c r="BJ97" s="12"/>
      <c r="BK97" s="12"/>
      <c r="BL97" s="12"/>
    </row>
    <row r="98" spans="2:64" ht="46.5" x14ac:dyDescent="0.35">
      <c r="B98" s="12"/>
      <c r="C98" s="19" t="s">
        <v>29</v>
      </c>
      <c r="D98" s="20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2"/>
      <c r="T98" s="12">
        <v>7</v>
      </c>
      <c r="U98" s="13" t="s">
        <v>38</v>
      </c>
      <c r="V98" s="12">
        <v>1</v>
      </c>
      <c r="W98" s="12">
        <v>1</v>
      </c>
      <c r="X98" s="12">
        <v>1</v>
      </c>
      <c r="Y98" s="12">
        <v>1</v>
      </c>
      <c r="Z98" s="12">
        <v>1</v>
      </c>
      <c r="AA98" s="12">
        <v>1</v>
      </c>
      <c r="AB98" s="12">
        <v>1</v>
      </c>
      <c r="AC98" s="12">
        <v>1</v>
      </c>
      <c r="AD98" s="12">
        <v>1</v>
      </c>
      <c r="AE98" s="12">
        <v>1</v>
      </c>
      <c r="AF98" s="12">
        <v>1</v>
      </c>
      <c r="AG98" s="12">
        <v>1</v>
      </c>
      <c r="AJ98" s="12">
        <v>7</v>
      </c>
      <c r="AK98" s="13" t="s">
        <v>38</v>
      </c>
      <c r="AL98" s="12">
        <v>1</v>
      </c>
      <c r="AM98" s="12">
        <v>1</v>
      </c>
      <c r="AN98" s="12">
        <v>1</v>
      </c>
      <c r="AO98" s="12">
        <v>1</v>
      </c>
      <c r="AP98" s="12">
        <v>1</v>
      </c>
      <c r="AQ98" s="12">
        <v>1</v>
      </c>
      <c r="AR98" s="12">
        <v>1</v>
      </c>
      <c r="AS98" s="12">
        <v>1</v>
      </c>
      <c r="AT98" s="12">
        <v>1</v>
      </c>
      <c r="AU98" s="12"/>
      <c r="AV98" s="12"/>
      <c r="AW98" s="12"/>
      <c r="AY98" s="12">
        <v>9</v>
      </c>
      <c r="AZ98" s="13" t="s">
        <v>40</v>
      </c>
      <c r="BA98" s="25">
        <v>1</v>
      </c>
      <c r="BB98" s="25">
        <v>1</v>
      </c>
      <c r="BC98" s="25">
        <v>1</v>
      </c>
      <c r="BD98" s="25">
        <v>1</v>
      </c>
      <c r="BE98" s="25">
        <v>1</v>
      </c>
      <c r="BF98" s="25">
        <v>1</v>
      </c>
      <c r="BG98" s="25"/>
      <c r="BH98" s="25"/>
      <c r="BI98" s="25"/>
      <c r="BJ98" s="25"/>
      <c r="BK98" s="25"/>
      <c r="BL98" s="25"/>
    </row>
    <row r="99" spans="2:64" ht="31" x14ac:dyDescent="0.35">
      <c r="B99" s="12">
        <v>13</v>
      </c>
      <c r="C99" s="13" t="s">
        <v>43</v>
      </c>
      <c r="D99" s="24">
        <v>1</v>
      </c>
      <c r="E99" s="24">
        <v>1</v>
      </c>
      <c r="F99" s="24">
        <v>1</v>
      </c>
      <c r="G99" s="24">
        <v>1</v>
      </c>
      <c r="H99" s="24">
        <v>1</v>
      </c>
      <c r="I99" s="24">
        <v>1</v>
      </c>
      <c r="J99" s="24">
        <v>1</v>
      </c>
      <c r="K99" s="24">
        <v>1</v>
      </c>
      <c r="L99" s="24">
        <v>1</v>
      </c>
      <c r="M99" s="24">
        <v>1</v>
      </c>
      <c r="N99" s="24">
        <v>1</v>
      </c>
      <c r="O99" s="24">
        <v>1</v>
      </c>
      <c r="T99" s="12">
        <v>8</v>
      </c>
      <c r="U99" s="13" t="s">
        <v>39</v>
      </c>
      <c r="V99" s="12">
        <v>1</v>
      </c>
      <c r="W99" s="12">
        <v>1</v>
      </c>
      <c r="X99" s="12">
        <v>1</v>
      </c>
      <c r="Y99" s="12">
        <v>1</v>
      </c>
      <c r="Z99" s="12">
        <v>1</v>
      </c>
      <c r="AA99" s="12">
        <v>1</v>
      </c>
      <c r="AB99" s="12">
        <v>1</v>
      </c>
      <c r="AC99" s="12">
        <v>1</v>
      </c>
      <c r="AD99" s="12">
        <v>1</v>
      </c>
      <c r="AE99" s="12">
        <v>1</v>
      </c>
      <c r="AF99" s="12">
        <v>1</v>
      </c>
      <c r="AG99" s="12">
        <v>1</v>
      </c>
      <c r="AJ99" s="12">
        <v>8</v>
      </c>
      <c r="AK99" s="13" t="s">
        <v>39</v>
      </c>
      <c r="AL99" s="12">
        <v>1</v>
      </c>
      <c r="AM99" s="12">
        <v>1</v>
      </c>
      <c r="AN99" s="12">
        <v>1</v>
      </c>
      <c r="AO99" s="12">
        <v>1</v>
      </c>
      <c r="AP99" s="12">
        <v>1</v>
      </c>
      <c r="AQ99" s="12">
        <v>1</v>
      </c>
      <c r="AR99" s="12">
        <v>1</v>
      </c>
      <c r="AS99" s="12">
        <v>1</v>
      </c>
      <c r="AT99" s="12">
        <v>1</v>
      </c>
      <c r="AU99" s="12"/>
      <c r="AV99" s="12"/>
      <c r="AW99" s="12"/>
      <c r="AY99" s="12"/>
      <c r="AZ99" s="23" t="s">
        <v>28</v>
      </c>
      <c r="BA99" s="20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2"/>
    </row>
    <row r="100" spans="2:64" ht="31" x14ac:dyDescent="0.35">
      <c r="B100" s="12">
        <v>14</v>
      </c>
      <c r="C100" s="13" t="s">
        <v>44</v>
      </c>
      <c r="D100" s="12">
        <v>1</v>
      </c>
      <c r="E100" s="12">
        <v>1</v>
      </c>
      <c r="F100" s="12">
        <v>1</v>
      </c>
      <c r="G100" s="12">
        <v>1</v>
      </c>
      <c r="H100" s="12">
        <v>1</v>
      </c>
      <c r="I100" s="12">
        <v>1</v>
      </c>
      <c r="J100" s="12">
        <v>1</v>
      </c>
      <c r="K100" s="12">
        <v>1</v>
      </c>
      <c r="L100" s="12">
        <v>1</v>
      </c>
      <c r="M100" s="12">
        <v>1</v>
      </c>
      <c r="N100" s="12">
        <v>1</v>
      </c>
      <c r="O100" s="12">
        <v>1</v>
      </c>
      <c r="T100" s="12">
        <v>9</v>
      </c>
      <c r="U100" s="13" t="s">
        <v>40</v>
      </c>
      <c r="V100" s="25">
        <v>1</v>
      </c>
      <c r="W100" s="25">
        <v>1</v>
      </c>
      <c r="X100" s="25">
        <v>1</v>
      </c>
      <c r="Y100" s="25">
        <v>1</v>
      </c>
      <c r="Z100" s="25">
        <v>1</v>
      </c>
      <c r="AA100" s="25">
        <v>1</v>
      </c>
      <c r="AB100" s="25">
        <v>1</v>
      </c>
      <c r="AC100" s="25">
        <v>1</v>
      </c>
      <c r="AD100" s="25">
        <v>1</v>
      </c>
      <c r="AE100" s="25">
        <v>1</v>
      </c>
      <c r="AF100" s="25">
        <v>1</v>
      </c>
      <c r="AG100" s="25">
        <v>1</v>
      </c>
      <c r="AJ100" s="12">
        <v>9</v>
      </c>
      <c r="AK100" s="13" t="s">
        <v>40</v>
      </c>
      <c r="AL100" s="25">
        <v>1</v>
      </c>
      <c r="AM100" s="25">
        <v>1</v>
      </c>
      <c r="AN100" s="25">
        <v>1</v>
      </c>
      <c r="AO100" s="25">
        <v>0</v>
      </c>
      <c r="AP100" s="25">
        <v>1</v>
      </c>
      <c r="AQ100" s="25">
        <v>1</v>
      </c>
      <c r="AR100" s="25">
        <v>1</v>
      </c>
      <c r="AS100" s="25">
        <v>1</v>
      </c>
      <c r="AT100" s="25">
        <v>1</v>
      </c>
      <c r="AU100" s="25"/>
      <c r="AV100" s="25"/>
      <c r="AW100" s="25"/>
      <c r="AY100" s="12">
        <v>10</v>
      </c>
      <c r="AZ100" s="13" t="s">
        <v>41</v>
      </c>
      <c r="BA100" s="24">
        <v>1</v>
      </c>
      <c r="BB100" s="24">
        <v>1</v>
      </c>
      <c r="BC100" s="24">
        <v>1</v>
      </c>
      <c r="BD100" s="24">
        <v>1</v>
      </c>
      <c r="BE100" s="24">
        <v>1</v>
      </c>
      <c r="BF100" s="24">
        <v>1</v>
      </c>
      <c r="BG100" s="24"/>
      <c r="BH100" s="24"/>
      <c r="BI100" s="24"/>
      <c r="BJ100" s="24"/>
      <c r="BK100" s="24"/>
      <c r="BL100" s="24"/>
    </row>
    <row r="101" spans="2:64" ht="46.5" x14ac:dyDescent="0.35">
      <c r="B101" s="12">
        <v>15</v>
      </c>
      <c r="C101" s="13" t="s">
        <v>46</v>
      </c>
      <c r="D101" s="12">
        <v>1</v>
      </c>
      <c r="E101" s="12">
        <v>1</v>
      </c>
      <c r="F101" s="12">
        <v>1</v>
      </c>
      <c r="G101" s="12">
        <v>1</v>
      </c>
      <c r="H101" s="12">
        <v>1</v>
      </c>
      <c r="I101" s="12">
        <v>1</v>
      </c>
      <c r="J101" s="12">
        <v>1</v>
      </c>
      <c r="K101" s="12">
        <v>1</v>
      </c>
      <c r="L101" s="12">
        <v>1</v>
      </c>
      <c r="M101" s="12">
        <v>1</v>
      </c>
      <c r="N101" s="12">
        <v>1</v>
      </c>
      <c r="O101" s="12">
        <v>1</v>
      </c>
      <c r="T101" s="12"/>
      <c r="U101" s="23" t="s">
        <v>28</v>
      </c>
      <c r="V101" s="20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2"/>
      <c r="AJ101" s="12"/>
      <c r="AK101" s="23" t="s">
        <v>28</v>
      </c>
      <c r="AL101" s="20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2"/>
      <c r="AY101" s="12">
        <v>11</v>
      </c>
      <c r="AZ101" s="13" t="s">
        <v>50</v>
      </c>
      <c r="BA101" s="12">
        <v>0</v>
      </c>
      <c r="BB101" s="12">
        <v>0</v>
      </c>
      <c r="BC101" s="12">
        <v>0</v>
      </c>
      <c r="BD101" s="12">
        <v>1</v>
      </c>
      <c r="BE101" s="12">
        <v>1</v>
      </c>
      <c r="BF101" s="12">
        <v>1</v>
      </c>
      <c r="BG101" s="12"/>
      <c r="BH101" s="12"/>
      <c r="BI101" s="12"/>
      <c r="BJ101" s="12"/>
      <c r="BK101" s="12"/>
      <c r="BL101" s="12"/>
    </row>
    <row r="102" spans="2:64" ht="46.5" x14ac:dyDescent="0.35">
      <c r="B102" s="12">
        <v>16</v>
      </c>
      <c r="C102" s="13" t="s">
        <v>45</v>
      </c>
      <c r="D102" s="25">
        <v>0</v>
      </c>
      <c r="E102" s="25">
        <v>0</v>
      </c>
      <c r="F102" s="25">
        <v>0</v>
      </c>
      <c r="G102" s="25">
        <v>0</v>
      </c>
      <c r="H102" s="25">
        <v>0</v>
      </c>
      <c r="I102" s="25">
        <v>0</v>
      </c>
      <c r="J102" s="25">
        <v>0</v>
      </c>
      <c r="K102" s="25">
        <v>0</v>
      </c>
      <c r="L102" s="25">
        <v>0</v>
      </c>
      <c r="M102" s="25">
        <v>0</v>
      </c>
      <c r="N102" s="25">
        <v>0</v>
      </c>
      <c r="O102" s="25">
        <v>0</v>
      </c>
      <c r="T102" s="12">
        <v>10</v>
      </c>
      <c r="U102" s="13" t="s">
        <v>41</v>
      </c>
      <c r="V102" s="24">
        <v>1</v>
      </c>
      <c r="W102" s="24">
        <v>1</v>
      </c>
      <c r="X102" s="24">
        <v>1</v>
      </c>
      <c r="Y102" s="24">
        <v>1</v>
      </c>
      <c r="Z102" s="24">
        <v>1</v>
      </c>
      <c r="AA102" s="24">
        <v>1</v>
      </c>
      <c r="AB102" s="24">
        <v>1</v>
      </c>
      <c r="AC102" s="24">
        <v>1</v>
      </c>
      <c r="AD102" s="24">
        <v>1</v>
      </c>
      <c r="AE102" s="24">
        <v>1</v>
      </c>
      <c r="AF102" s="24">
        <v>1</v>
      </c>
      <c r="AG102" s="24">
        <v>1</v>
      </c>
      <c r="AJ102" s="12">
        <v>10</v>
      </c>
      <c r="AK102" s="13" t="s">
        <v>41</v>
      </c>
      <c r="AL102" s="24">
        <v>1</v>
      </c>
      <c r="AM102" s="24">
        <v>1</v>
      </c>
      <c r="AN102" s="24">
        <v>1</v>
      </c>
      <c r="AO102" s="24">
        <v>1</v>
      </c>
      <c r="AP102" s="24">
        <v>1</v>
      </c>
      <c r="AQ102" s="24">
        <v>1</v>
      </c>
      <c r="AR102" s="24">
        <v>1</v>
      </c>
      <c r="AS102" s="24">
        <v>1</v>
      </c>
      <c r="AT102" s="24">
        <v>1</v>
      </c>
      <c r="AU102" s="24"/>
      <c r="AV102" s="24"/>
      <c r="AW102" s="24"/>
      <c r="AY102" s="12">
        <v>12</v>
      </c>
      <c r="AZ102" s="13" t="s">
        <v>42</v>
      </c>
      <c r="BA102" s="25">
        <v>1</v>
      </c>
      <c r="BB102" s="25">
        <v>1</v>
      </c>
      <c r="BC102" s="25">
        <v>1</v>
      </c>
      <c r="BD102" s="25">
        <v>1</v>
      </c>
      <c r="BE102" s="25">
        <v>1</v>
      </c>
      <c r="BF102" s="25">
        <v>1</v>
      </c>
      <c r="BG102" s="25"/>
      <c r="BH102" s="25"/>
      <c r="BI102" s="25"/>
      <c r="BJ102" s="25"/>
      <c r="BK102" s="25"/>
      <c r="BL102" s="25"/>
    </row>
    <row r="103" spans="2:64" ht="46.5" x14ac:dyDescent="0.35">
      <c r="B103" s="12"/>
      <c r="C103" s="23" t="s">
        <v>30</v>
      </c>
      <c r="D103" s="20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2"/>
      <c r="T103" s="12">
        <v>11</v>
      </c>
      <c r="U103" s="13" t="s">
        <v>50</v>
      </c>
      <c r="V103" s="12">
        <v>1</v>
      </c>
      <c r="W103" s="12">
        <v>1</v>
      </c>
      <c r="X103" s="12">
        <v>1</v>
      </c>
      <c r="Y103" s="12">
        <v>0</v>
      </c>
      <c r="Z103" s="12">
        <v>0</v>
      </c>
      <c r="AA103" s="12">
        <v>0</v>
      </c>
      <c r="AB103" s="12">
        <v>0</v>
      </c>
      <c r="AC103" s="12">
        <v>0</v>
      </c>
      <c r="AD103" s="12">
        <v>0</v>
      </c>
      <c r="AE103" s="12">
        <v>0</v>
      </c>
      <c r="AF103" s="12">
        <v>0</v>
      </c>
      <c r="AG103" s="12">
        <v>0</v>
      </c>
      <c r="AJ103" s="12">
        <v>11</v>
      </c>
      <c r="AK103" s="13" t="s">
        <v>50</v>
      </c>
      <c r="AL103" s="12">
        <v>1</v>
      </c>
      <c r="AM103" s="12">
        <v>1</v>
      </c>
      <c r="AN103" s="12">
        <v>1</v>
      </c>
      <c r="AO103" s="12">
        <v>0</v>
      </c>
      <c r="AP103" s="12">
        <v>0</v>
      </c>
      <c r="AQ103" s="12">
        <v>0</v>
      </c>
      <c r="AR103" s="12">
        <v>0</v>
      </c>
      <c r="AS103" s="12">
        <v>0</v>
      </c>
      <c r="AT103" s="12">
        <v>0</v>
      </c>
      <c r="AU103" s="12"/>
      <c r="AV103" s="12"/>
      <c r="AW103" s="12"/>
      <c r="AY103" s="12"/>
      <c r="AZ103" s="19" t="s">
        <v>29</v>
      </c>
      <c r="BA103" s="20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2"/>
    </row>
    <row r="104" spans="2:64" ht="46.5" x14ac:dyDescent="0.35">
      <c r="B104" s="12">
        <v>17</v>
      </c>
      <c r="C104" s="13" t="s">
        <v>47</v>
      </c>
      <c r="D104" s="24">
        <v>1</v>
      </c>
      <c r="E104" s="24">
        <v>1</v>
      </c>
      <c r="F104" s="24">
        <v>1</v>
      </c>
      <c r="G104" s="24">
        <v>1</v>
      </c>
      <c r="H104" s="24">
        <v>1</v>
      </c>
      <c r="I104" s="24">
        <v>1</v>
      </c>
      <c r="J104" s="24">
        <v>0</v>
      </c>
      <c r="K104" s="24">
        <v>0</v>
      </c>
      <c r="L104" s="24">
        <v>0</v>
      </c>
      <c r="M104" s="24">
        <v>0</v>
      </c>
      <c r="N104" s="24">
        <v>0</v>
      </c>
      <c r="O104" s="24">
        <v>0</v>
      </c>
      <c r="T104" s="12">
        <v>12</v>
      </c>
      <c r="U104" s="13" t="s">
        <v>42</v>
      </c>
      <c r="V104" s="25">
        <v>1</v>
      </c>
      <c r="W104" s="25">
        <v>1</v>
      </c>
      <c r="X104" s="25">
        <v>1</v>
      </c>
      <c r="Y104" s="25">
        <v>1</v>
      </c>
      <c r="Z104" s="25">
        <v>1</v>
      </c>
      <c r="AA104" s="25">
        <v>1</v>
      </c>
      <c r="AB104" s="25">
        <v>1</v>
      </c>
      <c r="AC104" s="25">
        <v>1</v>
      </c>
      <c r="AD104" s="25">
        <v>1</v>
      </c>
      <c r="AE104" s="25">
        <v>1</v>
      </c>
      <c r="AF104" s="25">
        <v>1</v>
      </c>
      <c r="AG104" s="25">
        <v>1</v>
      </c>
      <c r="AJ104" s="12">
        <v>12</v>
      </c>
      <c r="AK104" s="13" t="s">
        <v>42</v>
      </c>
      <c r="AL104" s="25">
        <v>1</v>
      </c>
      <c r="AM104" s="25">
        <v>1</v>
      </c>
      <c r="AN104" s="25">
        <v>1</v>
      </c>
      <c r="AO104" s="25">
        <v>1</v>
      </c>
      <c r="AP104" s="25">
        <v>1</v>
      </c>
      <c r="AQ104" s="25">
        <v>1</v>
      </c>
      <c r="AR104" s="25">
        <v>1</v>
      </c>
      <c r="AS104" s="25">
        <v>1</v>
      </c>
      <c r="AT104" s="25">
        <v>1</v>
      </c>
      <c r="AU104" s="25"/>
      <c r="AV104" s="25"/>
      <c r="AW104" s="25"/>
      <c r="AY104" s="12">
        <v>13</v>
      </c>
      <c r="AZ104" s="13" t="s">
        <v>43</v>
      </c>
      <c r="BA104" s="24">
        <v>1</v>
      </c>
      <c r="BB104" s="24">
        <v>1</v>
      </c>
      <c r="BC104" s="24">
        <v>1</v>
      </c>
      <c r="BD104" s="24">
        <v>1</v>
      </c>
      <c r="BE104" s="24">
        <v>1</v>
      </c>
      <c r="BF104" s="24">
        <v>1</v>
      </c>
      <c r="BG104" s="24"/>
      <c r="BH104" s="24"/>
      <c r="BI104" s="24"/>
      <c r="BJ104" s="24"/>
      <c r="BK104" s="24"/>
      <c r="BL104" s="24"/>
    </row>
    <row r="105" spans="2:64" ht="62" x14ac:dyDescent="0.35">
      <c r="B105" s="12">
        <v>18</v>
      </c>
      <c r="C105" s="13" t="s">
        <v>33</v>
      </c>
      <c r="D105" s="25">
        <v>1</v>
      </c>
      <c r="E105" s="25">
        <v>1</v>
      </c>
      <c r="F105" s="25">
        <v>1</v>
      </c>
      <c r="G105" s="25">
        <v>1</v>
      </c>
      <c r="H105" s="25">
        <v>1</v>
      </c>
      <c r="I105" s="25">
        <v>1</v>
      </c>
      <c r="J105" s="25">
        <v>0</v>
      </c>
      <c r="K105" s="25">
        <v>0</v>
      </c>
      <c r="L105" s="25">
        <v>0</v>
      </c>
      <c r="M105" s="25">
        <v>0</v>
      </c>
      <c r="N105" s="25">
        <v>0</v>
      </c>
      <c r="O105" s="25">
        <v>0</v>
      </c>
      <c r="T105" s="12"/>
      <c r="U105" s="19" t="s">
        <v>29</v>
      </c>
      <c r="V105" s="20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2"/>
      <c r="AJ105" s="12"/>
      <c r="AK105" s="19" t="s">
        <v>29</v>
      </c>
      <c r="AL105" s="20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2"/>
      <c r="AY105" s="12">
        <v>14</v>
      </c>
      <c r="AZ105" s="13" t="s">
        <v>44</v>
      </c>
      <c r="BA105" s="12">
        <v>1</v>
      </c>
      <c r="BB105" s="12">
        <v>1</v>
      </c>
      <c r="BC105" s="12">
        <v>1</v>
      </c>
      <c r="BD105" s="12">
        <v>1</v>
      </c>
      <c r="BE105" s="12">
        <v>1</v>
      </c>
      <c r="BF105" s="12">
        <v>1</v>
      </c>
      <c r="BG105" s="12"/>
      <c r="BH105" s="12"/>
      <c r="BI105" s="12"/>
      <c r="BJ105" s="12"/>
      <c r="BK105" s="12"/>
      <c r="BL105" s="12"/>
    </row>
    <row r="106" spans="2:64" ht="46.5" x14ac:dyDescent="0.35">
      <c r="B106" s="15"/>
      <c r="C106" s="23" t="s">
        <v>31</v>
      </c>
      <c r="D106" s="17">
        <f>D84+D85+D87+D88+D89+D90+D91+D92+D93+D95+D96+D97+D99+D100+D101+D102+D104+D105</f>
        <v>16</v>
      </c>
      <c r="E106" s="17">
        <f t="shared" ref="E106:O106" si="136">E84+E85+E87+E88+E89+E90+E91+E92+E93+E95+E96+E97+E99+E100+E101+E102+E104+E105</f>
        <v>16</v>
      </c>
      <c r="F106" s="17">
        <f t="shared" si="136"/>
        <v>16</v>
      </c>
      <c r="G106" s="17">
        <f t="shared" si="136"/>
        <v>15</v>
      </c>
      <c r="H106" s="17">
        <f t="shared" si="136"/>
        <v>17</v>
      </c>
      <c r="I106" s="17">
        <f t="shared" si="136"/>
        <v>16</v>
      </c>
      <c r="J106" s="17">
        <f t="shared" si="136"/>
        <v>13</v>
      </c>
      <c r="K106" s="17">
        <f t="shared" si="136"/>
        <v>13</v>
      </c>
      <c r="L106" s="17">
        <f t="shared" si="136"/>
        <v>13</v>
      </c>
      <c r="M106" s="17">
        <f t="shared" si="136"/>
        <v>13</v>
      </c>
      <c r="N106" s="17">
        <f t="shared" si="136"/>
        <v>14</v>
      </c>
      <c r="O106" s="17">
        <f t="shared" si="136"/>
        <v>15</v>
      </c>
      <c r="T106" s="12">
        <v>13</v>
      </c>
      <c r="U106" s="13" t="s">
        <v>43</v>
      </c>
      <c r="V106" s="24">
        <v>1</v>
      </c>
      <c r="W106" s="24">
        <v>1</v>
      </c>
      <c r="X106" s="24">
        <v>1</v>
      </c>
      <c r="Y106" s="24">
        <v>1</v>
      </c>
      <c r="Z106" s="24">
        <v>1</v>
      </c>
      <c r="AA106" s="24">
        <v>1</v>
      </c>
      <c r="AB106" s="24">
        <v>1</v>
      </c>
      <c r="AC106" s="24">
        <v>1</v>
      </c>
      <c r="AD106" s="24">
        <v>1</v>
      </c>
      <c r="AE106" s="24">
        <v>1</v>
      </c>
      <c r="AF106" s="24">
        <v>1</v>
      </c>
      <c r="AG106" s="24">
        <v>1</v>
      </c>
      <c r="AJ106" s="12">
        <v>13</v>
      </c>
      <c r="AK106" s="13" t="s">
        <v>43</v>
      </c>
      <c r="AL106" s="24">
        <v>1</v>
      </c>
      <c r="AM106" s="24">
        <v>1</v>
      </c>
      <c r="AN106" s="24">
        <v>1</v>
      </c>
      <c r="AO106" s="24">
        <v>1</v>
      </c>
      <c r="AP106" s="24">
        <v>1</v>
      </c>
      <c r="AQ106" s="24">
        <v>1</v>
      </c>
      <c r="AR106" s="24">
        <v>1</v>
      </c>
      <c r="AS106" s="24">
        <v>1</v>
      </c>
      <c r="AT106" s="24">
        <v>1</v>
      </c>
      <c r="AU106" s="24"/>
      <c r="AV106" s="24"/>
      <c r="AW106" s="24"/>
      <c r="AY106" s="12">
        <v>15</v>
      </c>
      <c r="AZ106" s="13" t="s">
        <v>46</v>
      </c>
      <c r="BA106" s="12">
        <v>1</v>
      </c>
      <c r="BB106" s="12">
        <v>1</v>
      </c>
      <c r="BC106" s="12">
        <v>1</v>
      </c>
      <c r="BD106" s="12">
        <v>1</v>
      </c>
      <c r="BE106" s="12">
        <v>1</v>
      </c>
      <c r="BF106" s="12">
        <v>1</v>
      </c>
      <c r="BG106" s="12"/>
      <c r="BH106" s="12"/>
      <c r="BI106" s="12"/>
      <c r="BJ106" s="12"/>
      <c r="BK106" s="12"/>
      <c r="BL106" s="12"/>
    </row>
    <row r="107" spans="2:64" ht="60" x14ac:dyDescent="0.35">
      <c r="B107" s="16" t="s">
        <v>32</v>
      </c>
      <c r="C107" s="17"/>
      <c r="D107" s="30">
        <f>D106/18</f>
        <v>0.88888888888888884</v>
      </c>
      <c r="E107" s="30">
        <f t="shared" ref="E107:O107" si="137">E106/18</f>
        <v>0.88888888888888884</v>
      </c>
      <c r="F107" s="30">
        <f t="shared" si="137"/>
        <v>0.88888888888888884</v>
      </c>
      <c r="G107" s="30">
        <f t="shared" si="137"/>
        <v>0.83333333333333337</v>
      </c>
      <c r="H107" s="30">
        <f t="shared" si="137"/>
        <v>0.94444444444444442</v>
      </c>
      <c r="I107" s="30">
        <f t="shared" si="137"/>
        <v>0.88888888888888884</v>
      </c>
      <c r="J107" s="30">
        <f t="shared" si="137"/>
        <v>0.72222222222222221</v>
      </c>
      <c r="K107" s="30">
        <f t="shared" si="137"/>
        <v>0.72222222222222221</v>
      </c>
      <c r="L107" s="30">
        <f t="shared" si="137"/>
        <v>0.72222222222222221</v>
      </c>
      <c r="M107" s="30">
        <f t="shared" si="137"/>
        <v>0.72222222222222221</v>
      </c>
      <c r="N107" s="30">
        <f t="shared" si="137"/>
        <v>0.77777777777777779</v>
      </c>
      <c r="O107" s="30">
        <f t="shared" si="137"/>
        <v>0.83333333333333337</v>
      </c>
      <c r="T107" s="12">
        <v>14</v>
      </c>
      <c r="U107" s="13" t="s">
        <v>44</v>
      </c>
      <c r="V107" s="12">
        <v>1</v>
      </c>
      <c r="W107" s="12">
        <v>1</v>
      </c>
      <c r="X107" s="12">
        <v>1</v>
      </c>
      <c r="Y107" s="12">
        <v>1</v>
      </c>
      <c r="Z107" s="12">
        <v>1</v>
      </c>
      <c r="AA107" s="12">
        <v>1</v>
      </c>
      <c r="AB107" s="12">
        <v>1</v>
      </c>
      <c r="AC107" s="12">
        <v>1</v>
      </c>
      <c r="AD107" s="12">
        <v>1</v>
      </c>
      <c r="AE107" s="12">
        <v>1</v>
      </c>
      <c r="AF107" s="12">
        <v>1</v>
      </c>
      <c r="AG107" s="12">
        <v>1</v>
      </c>
      <c r="AJ107" s="12">
        <v>14</v>
      </c>
      <c r="AK107" s="13" t="s">
        <v>44</v>
      </c>
      <c r="AL107" s="12">
        <v>1</v>
      </c>
      <c r="AM107" s="12">
        <v>1</v>
      </c>
      <c r="AN107" s="12">
        <v>1</v>
      </c>
      <c r="AO107" s="12">
        <v>1</v>
      </c>
      <c r="AP107" s="12">
        <v>1</v>
      </c>
      <c r="AQ107" s="12">
        <v>1</v>
      </c>
      <c r="AR107" s="12">
        <v>1</v>
      </c>
      <c r="AS107" s="12">
        <v>1</v>
      </c>
      <c r="AT107" s="12">
        <v>1</v>
      </c>
      <c r="AU107" s="12"/>
      <c r="AV107" s="12"/>
      <c r="AW107" s="12"/>
      <c r="AY107" s="12">
        <v>16</v>
      </c>
      <c r="AZ107" s="13" t="s">
        <v>45</v>
      </c>
      <c r="BA107" s="25">
        <v>0</v>
      </c>
      <c r="BB107" s="25">
        <v>0</v>
      </c>
      <c r="BC107" s="25">
        <v>0</v>
      </c>
      <c r="BD107" s="25">
        <v>0</v>
      </c>
      <c r="BE107" s="25">
        <v>0</v>
      </c>
      <c r="BF107" s="25">
        <v>0</v>
      </c>
      <c r="BG107" s="25"/>
      <c r="BH107" s="25"/>
      <c r="BI107" s="25"/>
      <c r="BJ107" s="25"/>
      <c r="BK107" s="25"/>
      <c r="BL107" s="25"/>
    </row>
    <row r="108" spans="2:64" ht="62" x14ac:dyDescent="0.35">
      <c r="T108" s="12">
        <v>15</v>
      </c>
      <c r="U108" s="13" t="s">
        <v>46</v>
      </c>
      <c r="V108" s="12">
        <v>1</v>
      </c>
      <c r="W108" s="12">
        <v>1</v>
      </c>
      <c r="X108" s="12">
        <v>1</v>
      </c>
      <c r="Y108" s="12">
        <v>1</v>
      </c>
      <c r="Z108" s="12">
        <v>1</v>
      </c>
      <c r="AA108" s="12">
        <v>1</v>
      </c>
      <c r="AB108" s="12">
        <v>1</v>
      </c>
      <c r="AC108" s="12">
        <v>1</v>
      </c>
      <c r="AD108" s="12">
        <v>1</v>
      </c>
      <c r="AE108" s="12">
        <v>1</v>
      </c>
      <c r="AF108" s="12">
        <v>1</v>
      </c>
      <c r="AG108" s="12">
        <v>1</v>
      </c>
      <c r="AJ108" s="12">
        <v>15</v>
      </c>
      <c r="AK108" s="13" t="s">
        <v>46</v>
      </c>
      <c r="AL108" s="12">
        <v>1</v>
      </c>
      <c r="AM108" s="12">
        <v>1</v>
      </c>
      <c r="AN108" s="12">
        <v>1</v>
      </c>
      <c r="AO108" s="12">
        <v>1</v>
      </c>
      <c r="AP108" s="12">
        <v>1</v>
      </c>
      <c r="AQ108" s="12">
        <v>1</v>
      </c>
      <c r="AR108" s="12">
        <v>1</v>
      </c>
      <c r="AS108" s="12">
        <v>1</v>
      </c>
      <c r="AT108" s="12">
        <v>1</v>
      </c>
      <c r="AU108" s="12"/>
      <c r="AV108" s="12"/>
      <c r="AW108" s="12"/>
      <c r="AY108" s="12"/>
      <c r="AZ108" s="23" t="s">
        <v>30</v>
      </c>
      <c r="BA108" s="20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2"/>
    </row>
    <row r="109" spans="2:64" ht="62" x14ac:dyDescent="0.35">
      <c r="B109" s="62" t="s">
        <v>0</v>
      </c>
      <c r="C109" s="10" t="s">
        <v>25</v>
      </c>
      <c r="D109" s="57" t="s">
        <v>60</v>
      </c>
      <c r="E109" s="58"/>
      <c r="F109" s="59"/>
      <c r="G109" s="57" t="s">
        <v>61</v>
      </c>
      <c r="H109" s="58"/>
      <c r="I109" s="59"/>
      <c r="J109" s="57" t="s">
        <v>62</v>
      </c>
      <c r="K109" s="58"/>
      <c r="L109" s="59"/>
      <c r="M109" s="57" t="s">
        <v>63</v>
      </c>
      <c r="N109" s="58"/>
      <c r="O109" s="59"/>
      <c r="T109" s="12">
        <v>16</v>
      </c>
      <c r="U109" s="13" t="s">
        <v>45</v>
      </c>
      <c r="V109" s="25">
        <v>0</v>
      </c>
      <c r="W109" s="25">
        <v>0</v>
      </c>
      <c r="X109" s="25">
        <v>0</v>
      </c>
      <c r="Y109" s="25">
        <v>0</v>
      </c>
      <c r="Z109" s="25">
        <v>0</v>
      </c>
      <c r="AA109" s="25">
        <v>0</v>
      </c>
      <c r="AB109" s="25">
        <v>0</v>
      </c>
      <c r="AC109" s="25">
        <v>0</v>
      </c>
      <c r="AD109" s="25">
        <v>0</v>
      </c>
      <c r="AE109" s="25">
        <v>0</v>
      </c>
      <c r="AF109" s="25">
        <v>0</v>
      </c>
      <c r="AG109" s="25">
        <v>0</v>
      </c>
      <c r="AJ109" s="12">
        <v>16</v>
      </c>
      <c r="AK109" s="13" t="s">
        <v>45</v>
      </c>
      <c r="AL109" s="25">
        <v>0</v>
      </c>
      <c r="AM109" s="25">
        <v>0</v>
      </c>
      <c r="AN109" s="25">
        <v>0</v>
      </c>
      <c r="AO109" s="25">
        <v>0</v>
      </c>
      <c r="AP109" s="25">
        <v>0</v>
      </c>
      <c r="AQ109" s="25">
        <v>0</v>
      </c>
      <c r="AR109" s="25">
        <v>0</v>
      </c>
      <c r="AS109" s="25">
        <v>0</v>
      </c>
      <c r="AT109" s="25">
        <v>0</v>
      </c>
      <c r="AU109" s="25"/>
      <c r="AV109" s="25"/>
      <c r="AW109" s="25"/>
      <c r="AY109" s="12">
        <v>17</v>
      </c>
      <c r="AZ109" s="13" t="s">
        <v>47</v>
      </c>
      <c r="BA109" s="24">
        <v>0</v>
      </c>
      <c r="BB109" s="24">
        <v>0</v>
      </c>
      <c r="BC109" s="24">
        <v>0</v>
      </c>
      <c r="BD109" s="24">
        <v>0</v>
      </c>
      <c r="BE109" s="24">
        <v>0</v>
      </c>
      <c r="BF109" s="24">
        <v>0</v>
      </c>
      <c r="BG109" s="24"/>
      <c r="BH109" s="24"/>
      <c r="BI109" s="24"/>
      <c r="BJ109" s="24"/>
      <c r="BK109" s="24"/>
      <c r="BL109" s="24"/>
    </row>
    <row r="110" spans="2:64" ht="46.5" x14ac:dyDescent="0.35">
      <c r="B110" s="63"/>
      <c r="C110" s="11" t="s">
        <v>26</v>
      </c>
      <c r="D110" s="14">
        <v>2022</v>
      </c>
      <c r="E110" s="14">
        <v>2023</v>
      </c>
      <c r="F110" s="14">
        <v>2024</v>
      </c>
      <c r="G110" s="14">
        <v>2022</v>
      </c>
      <c r="H110" s="14">
        <v>2023</v>
      </c>
      <c r="I110" s="14">
        <v>2024</v>
      </c>
      <c r="J110" s="14">
        <v>2022</v>
      </c>
      <c r="K110" s="14">
        <v>2023</v>
      </c>
      <c r="L110" s="14">
        <v>2024</v>
      </c>
      <c r="M110" s="14">
        <v>2022</v>
      </c>
      <c r="N110" s="14">
        <v>2023</v>
      </c>
      <c r="O110" s="14">
        <v>2024</v>
      </c>
      <c r="T110" s="12"/>
      <c r="U110" s="23" t="s">
        <v>30</v>
      </c>
      <c r="V110" s="20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2"/>
      <c r="AJ110" s="12"/>
      <c r="AK110" s="23" t="s">
        <v>30</v>
      </c>
      <c r="AL110" s="20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2"/>
      <c r="AY110" s="12">
        <v>18</v>
      </c>
      <c r="AZ110" s="13" t="s">
        <v>33</v>
      </c>
      <c r="BA110" s="25">
        <v>0</v>
      </c>
      <c r="BB110" s="25">
        <v>0</v>
      </c>
      <c r="BC110" s="25">
        <v>0</v>
      </c>
      <c r="BD110" s="25">
        <v>0</v>
      </c>
      <c r="BE110" s="25">
        <v>0</v>
      </c>
      <c r="BF110" s="25">
        <v>0</v>
      </c>
      <c r="BG110" s="25"/>
      <c r="BH110" s="25"/>
      <c r="BI110" s="25"/>
      <c r="BJ110" s="25"/>
      <c r="BK110" s="25"/>
      <c r="BL110" s="25"/>
    </row>
    <row r="111" spans="2:64" ht="77.5" x14ac:dyDescent="0.35">
      <c r="B111" s="12">
        <v>1</v>
      </c>
      <c r="C111" s="18" t="s">
        <v>49</v>
      </c>
      <c r="D111" s="12">
        <v>0</v>
      </c>
      <c r="E111" s="12">
        <v>0</v>
      </c>
      <c r="F111" s="12">
        <v>1</v>
      </c>
      <c r="G111" s="12">
        <v>0</v>
      </c>
      <c r="H111" s="12">
        <v>0</v>
      </c>
      <c r="I111" s="12">
        <v>0</v>
      </c>
      <c r="J111" s="12">
        <v>1</v>
      </c>
      <c r="K111" s="12">
        <v>0</v>
      </c>
      <c r="L111" s="12">
        <v>0</v>
      </c>
      <c r="M111" s="12">
        <v>1</v>
      </c>
      <c r="N111" s="12">
        <v>1</v>
      </c>
      <c r="O111" s="12">
        <v>1</v>
      </c>
      <c r="T111" s="12">
        <v>17</v>
      </c>
      <c r="U111" s="13" t="s">
        <v>47</v>
      </c>
      <c r="V111" s="24">
        <v>0</v>
      </c>
      <c r="W111" s="24">
        <v>0</v>
      </c>
      <c r="X111" s="24">
        <v>0</v>
      </c>
      <c r="Y111" s="24">
        <v>0</v>
      </c>
      <c r="Z111" s="24">
        <v>0</v>
      </c>
      <c r="AA111" s="24">
        <v>0</v>
      </c>
      <c r="AB111" s="24">
        <v>0</v>
      </c>
      <c r="AC111" s="24">
        <v>0</v>
      </c>
      <c r="AD111" s="24">
        <v>0</v>
      </c>
      <c r="AE111" s="24">
        <v>0</v>
      </c>
      <c r="AF111" s="24">
        <v>0</v>
      </c>
      <c r="AG111" s="24">
        <v>0</v>
      </c>
      <c r="AJ111" s="12">
        <v>17</v>
      </c>
      <c r="AK111" s="13" t="s">
        <v>47</v>
      </c>
      <c r="AL111" s="24">
        <v>0</v>
      </c>
      <c r="AM111" s="24">
        <v>0</v>
      </c>
      <c r="AN111" s="24">
        <v>0</v>
      </c>
      <c r="AO111" s="24">
        <v>0</v>
      </c>
      <c r="AP111" s="24">
        <v>0</v>
      </c>
      <c r="AQ111" s="24">
        <v>0</v>
      </c>
      <c r="AR111" s="24">
        <v>0</v>
      </c>
      <c r="AS111" s="24">
        <v>0</v>
      </c>
      <c r="AT111" s="24">
        <v>0</v>
      </c>
      <c r="AU111" s="24"/>
      <c r="AV111" s="24"/>
      <c r="AW111" s="24"/>
      <c r="AY111" s="15"/>
      <c r="AZ111" s="37" t="s">
        <v>31</v>
      </c>
      <c r="BA111" s="17">
        <f t="shared" ref="BA111" si="138">BA89+BA90+BA92+BA93+BA94+BA95+BA96+BA97+BA98+BA100+BA101+BA102+BA104+BA105+BA106+BA107+BA109+BA110</f>
        <v>11</v>
      </c>
      <c r="BB111" s="17">
        <f t="shared" ref="BB111" si="139">BB89+BB90+BB92+BB93+BB94+BB95+BB96+BB97+BB98+BB100+BB101+BB102+BB104+BB105+BB106+BB107+BB109+BB110</f>
        <v>12</v>
      </c>
      <c r="BC111" s="17">
        <f t="shared" ref="BC111" si="140">BC89+BC90+BC92+BC93+BC94+BC95+BC96+BC97+BC98+BC100+BC101+BC102+BC104+BC105+BC106+BC107+BC109+BC110</f>
        <v>12</v>
      </c>
      <c r="BD111" s="17">
        <f>BD89+BD90+BD92+BD93+BD94+BD95+BD96+BD97+BD98+BD100+BD101+BD102+BD104+BD105+BD106+BD107+BD109+BD110</f>
        <v>15</v>
      </c>
      <c r="BE111" s="17">
        <f>BE89+BE90+BE92+BE93+BE94+BE95+BE96+BE97+BE98+BE100+BE101+BE102+BE104+BE105+BE106+BE107+BE109+BE110</f>
        <v>15</v>
      </c>
      <c r="BF111" s="17">
        <f t="shared" ref="BF111" si="141">BF89+BF90+BF92+BF93+BF94+BF95+BF96+BF97+BF98+BF100+BF101+BF102+BF104+BF105+BF106+BF107+BF109+BF110</f>
        <v>15</v>
      </c>
      <c r="BG111" s="17">
        <f t="shared" ref="BG111" si="142">BG89+BG90+BG92+BG93+BG94+BG95+BG96+BG97+BG98+BG100+BG101+BG102+BG104+BG105+BG106+BG107+BG109+BG110</f>
        <v>0</v>
      </c>
      <c r="BH111" s="17">
        <f t="shared" ref="BH111" si="143">BH89+BH90+BH92+BH93+BH94+BH95+BH96+BH97+BH98+BH100+BH101+BH102+BH104+BH105+BH106+BH107+BH109+BH110</f>
        <v>0</v>
      </c>
      <c r="BI111" s="17">
        <f t="shared" ref="BI111" si="144">BI89+BI90+BI92+BI93+BI94+BI95+BI96+BI97+BI98+BI100+BI101+BI102+BI104+BI105+BI106+BI107+BI109+BI110</f>
        <v>0</v>
      </c>
      <c r="BJ111" s="17">
        <f t="shared" ref="BJ111" si="145">BJ89+BJ90+BJ92+BJ93+BJ94+BJ95+BJ96+BJ97+BJ98+BJ100+BJ101+BJ102+BJ104+BJ105+BJ106+BJ107+BJ109+BJ110</f>
        <v>0</v>
      </c>
      <c r="BK111" s="17">
        <f t="shared" ref="BK111" si="146">BK89+BK90+BK92+BK93+BK94+BK95+BK96+BK97+BK98+BK100+BK101+BK102+BK104+BK105+BK106+BK107+BK109+BK110</f>
        <v>0</v>
      </c>
      <c r="BL111" s="17">
        <f t="shared" ref="BL111" si="147">BL89+BL90+BL92+BL93+BL94+BL95+BL96+BL97+BL98+BL100+BL101+BL102+BL104+BL105+BL106+BL107+BL109+BL110</f>
        <v>0</v>
      </c>
    </row>
    <row r="112" spans="2:64" ht="77.5" x14ac:dyDescent="0.35">
      <c r="B112" s="12">
        <v>2</v>
      </c>
      <c r="C112" s="13" t="s">
        <v>34</v>
      </c>
      <c r="D112" s="25">
        <v>0</v>
      </c>
      <c r="E112" s="25">
        <v>1</v>
      </c>
      <c r="F112" s="25">
        <v>1</v>
      </c>
      <c r="G112" s="25">
        <v>0</v>
      </c>
      <c r="H112" s="25">
        <v>0</v>
      </c>
      <c r="I112" s="25">
        <v>0</v>
      </c>
      <c r="J112" s="25">
        <v>1</v>
      </c>
      <c r="K112" s="25">
        <v>0</v>
      </c>
      <c r="L112" s="25">
        <v>1</v>
      </c>
      <c r="M112" s="25">
        <v>0</v>
      </c>
      <c r="N112" s="25">
        <v>0</v>
      </c>
      <c r="O112" s="25">
        <v>0</v>
      </c>
      <c r="T112" s="12">
        <v>18</v>
      </c>
      <c r="U112" s="13" t="s">
        <v>33</v>
      </c>
      <c r="V112" s="25">
        <v>0</v>
      </c>
      <c r="W112" s="25">
        <v>0</v>
      </c>
      <c r="X112" s="25">
        <v>0</v>
      </c>
      <c r="Y112" s="25">
        <v>0</v>
      </c>
      <c r="Z112" s="25">
        <v>0</v>
      </c>
      <c r="AA112" s="25">
        <v>0</v>
      </c>
      <c r="AB112" s="25">
        <v>0</v>
      </c>
      <c r="AC112" s="25">
        <v>0</v>
      </c>
      <c r="AD112" s="25">
        <v>0</v>
      </c>
      <c r="AE112" s="25">
        <v>0</v>
      </c>
      <c r="AF112" s="25">
        <v>0</v>
      </c>
      <c r="AG112" s="25">
        <v>0</v>
      </c>
      <c r="AJ112" s="12">
        <v>18</v>
      </c>
      <c r="AK112" s="13" t="s">
        <v>33</v>
      </c>
      <c r="AL112" s="25">
        <v>0</v>
      </c>
      <c r="AM112" s="25">
        <v>0</v>
      </c>
      <c r="AN112" s="25">
        <v>0</v>
      </c>
      <c r="AO112" s="25">
        <v>0</v>
      </c>
      <c r="AP112" s="25">
        <v>0</v>
      </c>
      <c r="AQ112" s="25">
        <v>0</v>
      </c>
      <c r="AR112" s="25">
        <v>0</v>
      </c>
      <c r="AS112" s="25">
        <v>0</v>
      </c>
      <c r="AT112" s="25">
        <v>0</v>
      </c>
      <c r="AU112" s="25"/>
      <c r="AV112" s="25"/>
      <c r="AW112" s="25"/>
      <c r="AY112" s="16" t="s">
        <v>32</v>
      </c>
      <c r="AZ112" s="17"/>
      <c r="BA112" s="30">
        <f t="shared" ref="BA112" si="148">BA111/18</f>
        <v>0.61111111111111116</v>
      </c>
      <c r="BB112" s="30">
        <f t="shared" ref="BB112" si="149">BB111/18</f>
        <v>0.66666666666666663</v>
      </c>
      <c r="BC112" s="30">
        <f t="shared" ref="BC112" si="150">BC111/18</f>
        <v>0.66666666666666663</v>
      </c>
      <c r="BD112" s="30">
        <f>BD111/18</f>
        <v>0.83333333333333337</v>
      </c>
      <c r="BE112" s="30">
        <f t="shared" ref="BE112" si="151">BE111/18</f>
        <v>0.83333333333333337</v>
      </c>
      <c r="BF112" s="30">
        <f t="shared" ref="BF112" si="152">BF111/18</f>
        <v>0.83333333333333337</v>
      </c>
      <c r="BG112" s="30">
        <f t="shared" ref="BG112" si="153">BG111/18</f>
        <v>0</v>
      </c>
      <c r="BH112" s="30">
        <f t="shared" ref="BH112" si="154">BH111/18</f>
        <v>0</v>
      </c>
      <c r="BI112" s="30">
        <f t="shared" ref="BI112" si="155">BI111/18</f>
        <v>0</v>
      </c>
      <c r="BJ112" s="30">
        <f t="shared" ref="BJ112" si="156">BJ111/18</f>
        <v>0</v>
      </c>
      <c r="BK112" s="30">
        <f t="shared" ref="BK112" si="157">BK111/18</f>
        <v>0</v>
      </c>
      <c r="BL112" s="30">
        <f t="shared" ref="BL112" si="158">BL111/18</f>
        <v>0</v>
      </c>
    </row>
    <row r="113" spans="2:64" ht="30.5" x14ac:dyDescent="0.35">
      <c r="B113" s="12"/>
      <c r="C113" s="19" t="s">
        <v>27</v>
      </c>
      <c r="D113" s="20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2"/>
      <c r="T113" s="15"/>
      <c r="U113" s="37" t="s">
        <v>31</v>
      </c>
      <c r="V113" s="17">
        <f t="shared" ref="V113:AF113" si="159">V91+V92+V94+V95+V96+V97+V98+V99+V100+V102+V103+V104+V106+V107+V108+V109+V111+V112</f>
        <v>14</v>
      </c>
      <c r="W113" s="17">
        <f t="shared" si="159"/>
        <v>14</v>
      </c>
      <c r="X113" s="17">
        <f t="shared" si="159"/>
        <v>14</v>
      </c>
      <c r="Y113" s="17">
        <f t="shared" si="159"/>
        <v>10</v>
      </c>
      <c r="Z113" s="17">
        <f t="shared" si="159"/>
        <v>10</v>
      </c>
      <c r="AA113" s="17">
        <f t="shared" si="159"/>
        <v>10</v>
      </c>
      <c r="AB113" s="17">
        <f t="shared" si="159"/>
        <v>10</v>
      </c>
      <c r="AC113" s="17">
        <f t="shared" si="159"/>
        <v>10</v>
      </c>
      <c r="AD113" s="17">
        <f t="shared" si="159"/>
        <v>10</v>
      </c>
      <c r="AE113" s="17">
        <f t="shared" si="159"/>
        <v>10</v>
      </c>
      <c r="AF113" s="17">
        <f t="shared" si="159"/>
        <v>10</v>
      </c>
      <c r="AG113" s="17">
        <f t="shared" ref="AG113" si="160">AG91+AG92+AG94+AG95+AG96+AG97+AG98+AG99+AG100+AG102+AG103+AG104+AG106+AG107+AG108+AG109+AG111+AG112</f>
        <v>10</v>
      </c>
      <c r="AJ113" s="15"/>
      <c r="AK113" s="37" t="s">
        <v>31</v>
      </c>
      <c r="AL113" s="17">
        <f t="shared" ref="AL113" si="161">AL91+AL92+AL94+AL95+AL96+AL97+AL98+AL99+AL100+AL102+AL103+AL104+AL106+AL107+AL108+AL109+AL111+AL112</f>
        <v>14</v>
      </c>
      <c r="AM113" s="17">
        <f t="shared" ref="AM113" si="162">AM91+AM92+AM94+AM95+AM96+AM97+AM98+AM99+AM100+AM102+AM103+AM104+AM106+AM107+AM108+AM109+AM111+AM112</f>
        <v>14</v>
      </c>
      <c r="AN113" s="17">
        <f t="shared" ref="AN113" si="163">AN91+AN92+AN94+AN95+AN96+AN97+AN98+AN99+AN100+AN102+AN103+AN104+AN106+AN107+AN108+AN109+AN111+AN112</f>
        <v>14</v>
      </c>
      <c r="AO113" s="17">
        <f t="shared" ref="AO113" si="164">AO91+AO92+AO94+AO95+AO96+AO97+AO98+AO99+AO100+AO102+AO103+AO104+AO106+AO107+AO108+AO109+AO111+AO112</f>
        <v>10</v>
      </c>
      <c r="AP113" s="17">
        <f t="shared" ref="AP113" si="165">AP91+AP92+AP94+AP95+AP96+AP97+AP98+AP99+AP100+AP102+AP103+AP104+AP106+AP107+AP108+AP109+AP111+AP112</f>
        <v>12</v>
      </c>
      <c r="AQ113" s="17">
        <f t="shared" ref="AQ113" si="166">AQ91+AQ92+AQ94+AQ95+AQ96+AQ97+AQ98+AQ99+AQ100+AQ102+AQ103+AQ104+AQ106+AQ107+AQ108+AQ109+AQ111+AQ112</f>
        <v>13</v>
      </c>
      <c r="AR113" s="17">
        <f t="shared" ref="AR113" si="167">AR91+AR92+AR94+AR95+AR96+AR97+AR98+AR99+AR100+AR102+AR103+AR104+AR106+AR107+AR108+AR109+AR111+AR112</f>
        <v>13</v>
      </c>
      <c r="AS113" s="17">
        <f t="shared" ref="AS113" si="168">AS91+AS92+AS94+AS95+AS96+AS97+AS98+AS99+AS100+AS102+AS103+AS104+AS106+AS107+AS108+AS109+AS111+AS112</f>
        <v>13</v>
      </c>
      <c r="AT113" s="17">
        <f t="shared" ref="AT113" si="169">AT91+AT92+AT94+AT95+AT96+AT97+AT98+AT99+AT100+AT102+AT103+AT104+AT106+AT107+AT108+AT109+AT111+AT112</f>
        <v>13</v>
      </c>
      <c r="AU113" s="17">
        <f t="shared" ref="AU113" si="170">AU91+AU92+AU94+AU95+AU96+AU97+AU98+AU99+AU100+AU102+AU103+AU104+AU106+AU107+AU108+AU109+AU111+AU112</f>
        <v>0</v>
      </c>
      <c r="AV113" s="17">
        <f t="shared" ref="AV113" si="171">AV91+AV92+AV94+AV95+AV96+AV97+AV98+AV99+AV100+AV102+AV103+AV104+AV106+AV107+AV108+AV109+AV111+AV112</f>
        <v>0</v>
      </c>
      <c r="AW113" s="17">
        <f t="shared" ref="AW113" si="172">AW91+AW92+AW94+AW95+AW96+AW97+AW98+AW99+AW100+AW102+AW103+AW104+AW106+AW107+AW108+AW109+AW111+AW112</f>
        <v>0</v>
      </c>
    </row>
    <row r="114" spans="2:64" ht="75" x14ac:dyDescent="0.35">
      <c r="B114" s="12">
        <v>3</v>
      </c>
      <c r="C114" s="13" t="s">
        <v>48</v>
      </c>
      <c r="D114" s="24">
        <v>0</v>
      </c>
      <c r="E114" s="24">
        <v>1</v>
      </c>
      <c r="F114" s="24">
        <v>1</v>
      </c>
      <c r="G114" s="24">
        <v>0</v>
      </c>
      <c r="H114" s="24">
        <v>0</v>
      </c>
      <c r="I114" s="24">
        <v>0</v>
      </c>
      <c r="J114" s="24">
        <v>0</v>
      </c>
      <c r="K114" s="24">
        <v>1</v>
      </c>
      <c r="L114" s="24">
        <v>1</v>
      </c>
      <c r="M114" s="24">
        <v>1</v>
      </c>
      <c r="N114" s="24">
        <v>1</v>
      </c>
      <c r="O114" s="24">
        <v>1</v>
      </c>
      <c r="T114" s="16" t="s">
        <v>32</v>
      </c>
      <c r="U114" s="17"/>
      <c r="V114" s="30">
        <f t="shared" ref="V114:AF114" si="173">V113/18</f>
        <v>0.77777777777777779</v>
      </c>
      <c r="W114" s="30">
        <f t="shared" si="173"/>
        <v>0.77777777777777779</v>
      </c>
      <c r="X114" s="30">
        <f t="shared" si="173"/>
        <v>0.77777777777777779</v>
      </c>
      <c r="Y114" s="30">
        <f t="shared" si="173"/>
        <v>0.55555555555555558</v>
      </c>
      <c r="Z114" s="30">
        <f t="shared" si="173"/>
        <v>0.55555555555555558</v>
      </c>
      <c r="AA114" s="30">
        <f t="shared" si="173"/>
        <v>0.55555555555555558</v>
      </c>
      <c r="AB114" s="30">
        <f t="shared" si="173"/>
        <v>0.55555555555555558</v>
      </c>
      <c r="AC114" s="30">
        <f t="shared" si="173"/>
        <v>0.55555555555555558</v>
      </c>
      <c r="AD114" s="30">
        <f t="shared" si="173"/>
        <v>0.55555555555555558</v>
      </c>
      <c r="AE114" s="30">
        <f t="shared" si="173"/>
        <v>0.55555555555555558</v>
      </c>
      <c r="AF114" s="30">
        <f t="shared" si="173"/>
        <v>0.55555555555555558</v>
      </c>
      <c r="AG114" s="30">
        <f t="shared" ref="AG114" si="174">AG113/18</f>
        <v>0.55555555555555558</v>
      </c>
      <c r="AJ114" s="16" t="s">
        <v>32</v>
      </c>
      <c r="AK114" s="17"/>
      <c r="AL114" s="30">
        <f t="shared" ref="AL114" si="175">AL113/18</f>
        <v>0.77777777777777779</v>
      </c>
      <c r="AM114" s="30">
        <f t="shared" ref="AM114" si="176">AM113/18</f>
        <v>0.77777777777777779</v>
      </c>
      <c r="AN114" s="30">
        <f t="shared" ref="AN114" si="177">AN113/18</f>
        <v>0.77777777777777779</v>
      </c>
      <c r="AO114" s="30">
        <f t="shared" ref="AO114" si="178">AO113/18</f>
        <v>0.55555555555555558</v>
      </c>
      <c r="AP114" s="30">
        <f t="shared" ref="AP114" si="179">AP113/18</f>
        <v>0.66666666666666663</v>
      </c>
      <c r="AQ114" s="30">
        <f t="shared" ref="AQ114" si="180">AQ113/18</f>
        <v>0.72222222222222221</v>
      </c>
      <c r="AR114" s="30">
        <f t="shared" ref="AR114" si="181">AR113/18</f>
        <v>0.72222222222222221</v>
      </c>
      <c r="AS114" s="30">
        <f t="shared" ref="AS114" si="182">AS113/18</f>
        <v>0.72222222222222221</v>
      </c>
      <c r="AT114" s="30">
        <f t="shared" ref="AT114" si="183">AT113/18</f>
        <v>0.72222222222222221</v>
      </c>
      <c r="AU114" s="30">
        <f t="shared" ref="AU114" si="184">AU113/18</f>
        <v>0</v>
      </c>
      <c r="AV114" s="30">
        <f t="shared" ref="AV114" si="185">AV113/18</f>
        <v>0</v>
      </c>
      <c r="AW114" s="30">
        <f t="shared" ref="AW114" si="186">AW113/18</f>
        <v>0</v>
      </c>
    </row>
    <row r="115" spans="2:64" ht="46.5" x14ac:dyDescent="0.35">
      <c r="B115" s="12">
        <v>4</v>
      </c>
      <c r="C115" s="13" t="s">
        <v>35</v>
      </c>
      <c r="D115" s="12">
        <v>1</v>
      </c>
      <c r="E115" s="12">
        <v>1</v>
      </c>
      <c r="F115" s="12">
        <v>1</v>
      </c>
      <c r="G115" s="12">
        <v>0</v>
      </c>
      <c r="H115" s="12">
        <v>0</v>
      </c>
      <c r="I115" s="12">
        <v>0</v>
      </c>
      <c r="J115" s="12">
        <v>0</v>
      </c>
      <c r="K115" s="12">
        <v>1</v>
      </c>
      <c r="L115" s="12">
        <v>1</v>
      </c>
      <c r="M115" s="12">
        <v>1</v>
      </c>
      <c r="N115" s="12">
        <v>1</v>
      </c>
      <c r="O115" s="12">
        <v>1</v>
      </c>
      <c r="AZ115" s="50" t="s">
        <v>157</v>
      </c>
    </row>
    <row r="116" spans="2:64" ht="31" x14ac:dyDescent="0.35">
      <c r="B116" s="12">
        <v>5</v>
      </c>
      <c r="C116" s="13" t="s">
        <v>36</v>
      </c>
      <c r="D116" s="12">
        <v>1</v>
      </c>
      <c r="E116" s="12">
        <v>1</v>
      </c>
      <c r="F116" s="12">
        <v>1</v>
      </c>
      <c r="G116" s="12">
        <v>1</v>
      </c>
      <c r="H116" s="12">
        <v>1</v>
      </c>
      <c r="I116" s="12">
        <v>1</v>
      </c>
      <c r="J116" s="12">
        <v>1</v>
      </c>
      <c r="K116" s="12">
        <v>1</v>
      </c>
      <c r="L116" s="12">
        <v>1</v>
      </c>
      <c r="M116" s="12">
        <v>1</v>
      </c>
      <c r="N116" s="12">
        <v>1</v>
      </c>
      <c r="O116" s="12">
        <v>1</v>
      </c>
      <c r="X116" s="50" t="s">
        <v>144</v>
      </c>
      <c r="AY116" s="35" t="s">
        <v>0</v>
      </c>
      <c r="AZ116" s="10" t="s">
        <v>25</v>
      </c>
      <c r="BA116" s="57" t="s">
        <v>101</v>
      </c>
      <c r="BB116" s="58"/>
      <c r="BC116" s="59"/>
      <c r="BD116" s="57"/>
      <c r="BE116" s="58"/>
      <c r="BF116" s="59"/>
      <c r="BG116" s="57"/>
      <c r="BH116" s="58"/>
      <c r="BI116" s="59"/>
      <c r="BJ116" s="57"/>
      <c r="BK116" s="58"/>
      <c r="BL116" s="59"/>
    </row>
    <row r="117" spans="2:64" ht="31" x14ac:dyDescent="0.35">
      <c r="B117" s="12">
        <v>6</v>
      </c>
      <c r="C117" s="13" t="s">
        <v>37</v>
      </c>
      <c r="D117" s="12">
        <v>1</v>
      </c>
      <c r="E117" s="12">
        <v>1</v>
      </c>
      <c r="F117" s="12">
        <v>1</v>
      </c>
      <c r="G117" s="12">
        <v>1</v>
      </c>
      <c r="H117" s="12">
        <v>1</v>
      </c>
      <c r="I117" s="12">
        <v>1</v>
      </c>
      <c r="J117" s="12">
        <v>1</v>
      </c>
      <c r="K117" s="12">
        <v>1</v>
      </c>
      <c r="L117" s="12">
        <v>1</v>
      </c>
      <c r="M117" s="12">
        <v>1</v>
      </c>
      <c r="N117" s="12">
        <v>1</v>
      </c>
      <c r="O117" s="12">
        <v>1</v>
      </c>
      <c r="AY117" s="36"/>
      <c r="AZ117" s="11" t="s">
        <v>26</v>
      </c>
      <c r="BA117" s="14">
        <v>2022</v>
      </c>
      <c r="BB117" s="14">
        <v>2023</v>
      </c>
      <c r="BC117" s="14">
        <v>2024</v>
      </c>
      <c r="BD117" s="14">
        <v>2022</v>
      </c>
      <c r="BE117" s="14">
        <v>2023</v>
      </c>
      <c r="BF117" s="14">
        <v>2024</v>
      </c>
      <c r="BG117" s="14">
        <v>2022</v>
      </c>
      <c r="BH117" s="14">
        <v>2023</v>
      </c>
      <c r="BI117" s="14">
        <v>2024</v>
      </c>
      <c r="BJ117" s="14">
        <v>2022</v>
      </c>
      <c r="BK117" s="14">
        <v>2023</v>
      </c>
      <c r="BL117" s="14">
        <v>2024</v>
      </c>
    </row>
    <row r="118" spans="2:64" ht="46.5" x14ac:dyDescent="0.35">
      <c r="B118" s="12">
        <v>7</v>
      </c>
      <c r="C118" s="13" t="s">
        <v>38</v>
      </c>
      <c r="D118" s="12">
        <v>1</v>
      </c>
      <c r="E118" s="12">
        <v>1</v>
      </c>
      <c r="F118" s="12">
        <v>1</v>
      </c>
      <c r="G118" s="12">
        <v>1</v>
      </c>
      <c r="H118" s="12">
        <v>1</v>
      </c>
      <c r="I118" s="12">
        <v>1</v>
      </c>
      <c r="J118" s="12">
        <v>1</v>
      </c>
      <c r="K118" s="12">
        <v>1</v>
      </c>
      <c r="L118" s="12">
        <v>1</v>
      </c>
      <c r="M118" s="12">
        <v>1</v>
      </c>
      <c r="N118" s="12">
        <v>1</v>
      </c>
      <c r="O118" s="12">
        <v>1</v>
      </c>
      <c r="T118" s="35" t="s">
        <v>0</v>
      </c>
      <c r="U118" s="10" t="s">
        <v>25</v>
      </c>
      <c r="V118" s="57" t="s">
        <v>124</v>
      </c>
      <c r="W118" s="58"/>
      <c r="X118" s="59"/>
      <c r="Y118" s="57" t="s">
        <v>125</v>
      </c>
      <c r="Z118" s="58"/>
      <c r="AA118" s="59"/>
      <c r="AB118" s="57" t="s">
        <v>126</v>
      </c>
      <c r="AC118" s="58"/>
      <c r="AD118" s="59"/>
      <c r="AE118" s="57" t="s">
        <v>127</v>
      </c>
      <c r="AF118" s="58"/>
      <c r="AG118" s="59"/>
      <c r="AY118" s="12">
        <v>1</v>
      </c>
      <c r="AZ118" s="18" t="s">
        <v>49</v>
      </c>
      <c r="BA118" s="12">
        <v>0</v>
      </c>
      <c r="BB118" s="12">
        <v>1</v>
      </c>
      <c r="BC118" s="12">
        <v>1</v>
      </c>
      <c r="BD118" s="12"/>
      <c r="BE118" s="12"/>
      <c r="BF118" s="12"/>
      <c r="BG118" s="12"/>
      <c r="BH118" s="12"/>
      <c r="BI118" s="12"/>
      <c r="BJ118" s="12"/>
      <c r="BK118" s="12"/>
      <c r="BL118" s="12"/>
    </row>
    <row r="119" spans="2:64" ht="31" x14ac:dyDescent="0.35">
      <c r="B119" s="12">
        <v>8</v>
      </c>
      <c r="C119" s="13" t="s">
        <v>39</v>
      </c>
      <c r="D119" s="12">
        <v>1</v>
      </c>
      <c r="E119" s="12">
        <v>1</v>
      </c>
      <c r="F119" s="12">
        <v>1</v>
      </c>
      <c r="G119" s="12">
        <v>1</v>
      </c>
      <c r="H119" s="12">
        <v>1</v>
      </c>
      <c r="I119" s="12">
        <v>1</v>
      </c>
      <c r="J119" s="12">
        <v>1</v>
      </c>
      <c r="K119" s="12">
        <v>1</v>
      </c>
      <c r="L119" s="12">
        <v>1</v>
      </c>
      <c r="M119" s="12">
        <v>1</v>
      </c>
      <c r="N119" s="12">
        <v>1</v>
      </c>
      <c r="O119" s="12">
        <v>1</v>
      </c>
      <c r="T119" s="36"/>
      <c r="U119" s="11" t="s">
        <v>26</v>
      </c>
      <c r="V119" s="14">
        <v>2022</v>
      </c>
      <c r="W119" s="14">
        <v>2023</v>
      </c>
      <c r="X119" s="14">
        <v>2024</v>
      </c>
      <c r="Y119" s="14">
        <v>2022</v>
      </c>
      <c r="Z119" s="14">
        <v>2023</v>
      </c>
      <c r="AA119" s="14">
        <v>2024</v>
      </c>
      <c r="AB119" s="14">
        <v>2022</v>
      </c>
      <c r="AC119" s="14">
        <v>2023</v>
      </c>
      <c r="AD119" s="14">
        <v>2024</v>
      </c>
      <c r="AE119" s="14">
        <v>2022</v>
      </c>
      <c r="AF119" s="14">
        <v>2023</v>
      </c>
      <c r="AG119" s="14">
        <v>2024</v>
      </c>
      <c r="AY119" s="12">
        <v>2</v>
      </c>
      <c r="AZ119" s="13" t="s">
        <v>34</v>
      </c>
      <c r="BA119" s="25">
        <v>0</v>
      </c>
      <c r="BB119" s="25">
        <v>0</v>
      </c>
      <c r="BC119" s="25">
        <v>0</v>
      </c>
      <c r="BD119" s="25"/>
      <c r="BE119" s="25"/>
      <c r="BF119" s="25"/>
      <c r="BG119" s="25"/>
      <c r="BH119" s="25"/>
      <c r="BI119" s="25"/>
      <c r="BJ119" s="25"/>
      <c r="BK119" s="25"/>
      <c r="BL119" s="25"/>
    </row>
    <row r="120" spans="2:64" ht="77.5" x14ac:dyDescent="0.35">
      <c r="B120" s="12">
        <v>9</v>
      </c>
      <c r="C120" s="13" t="s">
        <v>40</v>
      </c>
      <c r="D120" s="25">
        <v>1</v>
      </c>
      <c r="E120" s="25">
        <v>1</v>
      </c>
      <c r="F120" s="25">
        <v>1</v>
      </c>
      <c r="G120" s="25">
        <v>1</v>
      </c>
      <c r="H120" s="25">
        <v>1</v>
      </c>
      <c r="I120" s="25">
        <v>1</v>
      </c>
      <c r="J120" s="25">
        <v>1</v>
      </c>
      <c r="K120" s="25">
        <v>1</v>
      </c>
      <c r="L120" s="25">
        <v>1</v>
      </c>
      <c r="M120" s="25">
        <v>1</v>
      </c>
      <c r="N120" s="25">
        <v>1</v>
      </c>
      <c r="O120" s="25">
        <v>1</v>
      </c>
      <c r="T120" s="12">
        <v>1</v>
      </c>
      <c r="U120" s="18" t="s">
        <v>49</v>
      </c>
      <c r="V120" s="12">
        <v>0</v>
      </c>
      <c r="W120" s="12">
        <v>0</v>
      </c>
      <c r="X120" s="12">
        <v>0</v>
      </c>
      <c r="Y120" s="12">
        <v>1</v>
      </c>
      <c r="Z120" s="12">
        <v>1</v>
      </c>
      <c r="AA120" s="12">
        <v>1</v>
      </c>
      <c r="AB120" s="12">
        <v>1</v>
      </c>
      <c r="AC120" s="12">
        <v>1</v>
      </c>
      <c r="AD120" s="12">
        <v>1</v>
      </c>
      <c r="AE120" s="12">
        <v>0</v>
      </c>
      <c r="AF120" s="12">
        <v>0</v>
      </c>
      <c r="AG120" s="12">
        <v>0</v>
      </c>
      <c r="AY120" s="12"/>
      <c r="AZ120" s="19" t="s">
        <v>27</v>
      </c>
      <c r="BA120" s="20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2"/>
    </row>
    <row r="121" spans="2:64" ht="46.5" x14ac:dyDescent="0.35">
      <c r="B121" s="12"/>
      <c r="C121" s="23" t="s">
        <v>28</v>
      </c>
      <c r="D121" s="20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2"/>
      <c r="T121" s="12">
        <v>2</v>
      </c>
      <c r="U121" s="13" t="s">
        <v>34</v>
      </c>
      <c r="V121" s="25">
        <v>0</v>
      </c>
      <c r="W121" s="25">
        <v>0</v>
      </c>
      <c r="X121" s="25">
        <v>0</v>
      </c>
      <c r="Y121" s="25">
        <v>0</v>
      </c>
      <c r="Z121" s="25">
        <v>0</v>
      </c>
      <c r="AA121" s="25">
        <v>1</v>
      </c>
      <c r="AB121" s="25">
        <v>1</v>
      </c>
      <c r="AC121" s="25">
        <v>1</v>
      </c>
      <c r="AD121" s="25">
        <v>1</v>
      </c>
      <c r="AE121" s="25">
        <v>0</v>
      </c>
      <c r="AF121" s="25">
        <v>0</v>
      </c>
      <c r="AG121" s="25">
        <v>0</v>
      </c>
      <c r="AY121" s="12">
        <v>3</v>
      </c>
      <c r="AZ121" s="13" t="s">
        <v>48</v>
      </c>
      <c r="BA121" s="24">
        <v>0</v>
      </c>
      <c r="BB121" s="24">
        <v>0</v>
      </c>
      <c r="BC121" s="24">
        <v>0</v>
      </c>
      <c r="BD121" s="24"/>
      <c r="BE121" s="24"/>
      <c r="BF121" s="24"/>
      <c r="BG121" s="24"/>
      <c r="BH121" s="24"/>
      <c r="BI121" s="24"/>
      <c r="BJ121" s="24"/>
      <c r="BK121" s="24"/>
      <c r="BL121" s="24"/>
    </row>
    <row r="122" spans="2:64" ht="31" x14ac:dyDescent="0.35">
      <c r="B122" s="12">
        <v>10</v>
      </c>
      <c r="C122" s="13" t="s">
        <v>41</v>
      </c>
      <c r="D122" s="24">
        <v>1</v>
      </c>
      <c r="E122" s="24">
        <v>1</v>
      </c>
      <c r="F122" s="24">
        <v>1</v>
      </c>
      <c r="G122" s="24">
        <v>1</v>
      </c>
      <c r="H122" s="24">
        <v>1</v>
      </c>
      <c r="I122" s="24">
        <v>1</v>
      </c>
      <c r="J122" s="24">
        <v>1</v>
      </c>
      <c r="K122" s="24">
        <v>1</v>
      </c>
      <c r="L122" s="24">
        <v>1</v>
      </c>
      <c r="M122" s="24">
        <v>1</v>
      </c>
      <c r="N122" s="24">
        <v>1</v>
      </c>
      <c r="O122" s="24">
        <v>1</v>
      </c>
      <c r="T122" s="12"/>
      <c r="U122" s="19" t="s">
        <v>27</v>
      </c>
      <c r="V122" s="20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2"/>
      <c r="AY122" s="12">
        <v>4</v>
      </c>
      <c r="AZ122" s="13" t="s">
        <v>35</v>
      </c>
      <c r="BA122" s="12">
        <v>0</v>
      </c>
      <c r="BB122" s="12">
        <v>0</v>
      </c>
      <c r="BC122" s="12">
        <v>0</v>
      </c>
      <c r="BD122" s="12"/>
      <c r="BE122" s="12"/>
      <c r="BF122" s="12"/>
      <c r="BG122" s="12"/>
      <c r="BH122" s="12"/>
      <c r="BI122" s="12"/>
      <c r="BJ122" s="12"/>
      <c r="BK122" s="12"/>
      <c r="BL122" s="12"/>
    </row>
    <row r="123" spans="2:64" ht="62" x14ac:dyDescent="0.35">
      <c r="B123" s="12">
        <v>11</v>
      </c>
      <c r="C123" s="13" t="s">
        <v>50</v>
      </c>
      <c r="D123" s="12">
        <v>1</v>
      </c>
      <c r="E123" s="12">
        <v>1</v>
      </c>
      <c r="F123" s="12">
        <v>1</v>
      </c>
      <c r="G123" s="12">
        <v>0</v>
      </c>
      <c r="H123" s="12">
        <v>0</v>
      </c>
      <c r="I123" s="12">
        <v>0</v>
      </c>
      <c r="J123" s="12">
        <v>1</v>
      </c>
      <c r="K123" s="12">
        <v>1</v>
      </c>
      <c r="L123" s="12">
        <v>1</v>
      </c>
      <c r="M123" s="12">
        <v>1</v>
      </c>
      <c r="N123" s="12">
        <v>0</v>
      </c>
      <c r="O123" s="12">
        <v>0</v>
      </c>
      <c r="T123" s="12">
        <v>3</v>
      </c>
      <c r="U123" s="13" t="s">
        <v>48</v>
      </c>
      <c r="V123" s="24">
        <v>1</v>
      </c>
      <c r="W123" s="24">
        <v>1</v>
      </c>
      <c r="X123" s="24">
        <v>1</v>
      </c>
      <c r="Y123" s="24">
        <v>1</v>
      </c>
      <c r="Z123" s="24">
        <v>1</v>
      </c>
      <c r="AA123" s="24">
        <v>1</v>
      </c>
      <c r="AB123" s="24">
        <v>1</v>
      </c>
      <c r="AC123" s="24">
        <v>1</v>
      </c>
      <c r="AD123" s="24">
        <v>1</v>
      </c>
      <c r="AE123" s="24">
        <v>0</v>
      </c>
      <c r="AF123" s="24">
        <v>0</v>
      </c>
      <c r="AG123" s="24">
        <v>0</v>
      </c>
      <c r="AY123" s="12">
        <v>5</v>
      </c>
      <c r="AZ123" s="13" t="s">
        <v>36</v>
      </c>
      <c r="BA123" s="12">
        <v>1</v>
      </c>
      <c r="BB123" s="12">
        <v>1</v>
      </c>
      <c r="BC123" s="12">
        <v>1</v>
      </c>
      <c r="BD123" s="12"/>
      <c r="BE123" s="12"/>
      <c r="BF123" s="12"/>
      <c r="BG123" s="12"/>
      <c r="BH123" s="12"/>
      <c r="BI123" s="12"/>
      <c r="BJ123" s="12"/>
      <c r="BK123" s="12"/>
      <c r="BL123" s="12"/>
    </row>
    <row r="124" spans="2:64" ht="62" x14ac:dyDescent="0.35">
      <c r="B124" s="12">
        <v>12</v>
      </c>
      <c r="C124" s="13" t="s">
        <v>42</v>
      </c>
      <c r="D124" s="25">
        <v>1</v>
      </c>
      <c r="E124" s="25">
        <v>1</v>
      </c>
      <c r="F124" s="25">
        <v>1</v>
      </c>
      <c r="G124" s="25">
        <v>1</v>
      </c>
      <c r="H124" s="25">
        <v>1</v>
      </c>
      <c r="I124" s="25">
        <v>1</v>
      </c>
      <c r="J124" s="25">
        <v>1</v>
      </c>
      <c r="K124" s="25">
        <v>1</v>
      </c>
      <c r="L124" s="25">
        <v>1</v>
      </c>
      <c r="M124" s="25">
        <v>1</v>
      </c>
      <c r="N124" s="25">
        <v>1</v>
      </c>
      <c r="O124" s="25">
        <v>1</v>
      </c>
      <c r="T124" s="12">
        <v>4</v>
      </c>
      <c r="U124" s="13" t="s">
        <v>35</v>
      </c>
      <c r="V124" s="12">
        <v>0</v>
      </c>
      <c r="W124" s="12">
        <v>0</v>
      </c>
      <c r="X124" s="12">
        <v>0</v>
      </c>
      <c r="Y124" s="12">
        <v>1</v>
      </c>
      <c r="Z124" s="12">
        <v>1</v>
      </c>
      <c r="AA124" s="12">
        <v>1</v>
      </c>
      <c r="AB124" s="12">
        <v>1</v>
      </c>
      <c r="AC124" s="12">
        <v>1</v>
      </c>
      <c r="AD124" s="12">
        <v>1</v>
      </c>
      <c r="AE124" s="12">
        <v>0</v>
      </c>
      <c r="AF124" s="12">
        <v>0</v>
      </c>
      <c r="AG124" s="12">
        <v>0</v>
      </c>
      <c r="AY124" s="12">
        <v>6</v>
      </c>
      <c r="AZ124" s="13" t="s">
        <v>37</v>
      </c>
      <c r="BA124" s="12">
        <v>1</v>
      </c>
      <c r="BB124" s="12">
        <v>1</v>
      </c>
      <c r="BC124" s="12">
        <v>1</v>
      </c>
      <c r="BD124" s="12"/>
      <c r="BE124" s="12"/>
      <c r="BF124" s="12"/>
      <c r="BG124" s="12"/>
      <c r="BH124" s="12"/>
      <c r="BI124" s="12"/>
      <c r="BJ124" s="12"/>
      <c r="BK124" s="12"/>
      <c r="BL124" s="12"/>
    </row>
    <row r="125" spans="2:64" ht="31" x14ac:dyDescent="0.35">
      <c r="B125" s="12"/>
      <c r="C125" s="19" t="s">
        <v>29</v>
      </c>
      <c r="D125" s="20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2"/>
      <c r="T125" s="12">
        <v>5</v>
      </c>
      <c r="U125" s="13" t="s">
        <v>36</v>
      </c>
      <c r="V125" s="12">
        <v>1</v>
      </c>
      <c r="W125" s="12">
        <v>1</v>
      </c>
      <c r="X125" s="12">
        <v>1</v>
      </c>
      <c r="Y125" s="12">
        <v>1</v>
      </c>
      <c r="Z125" s="12">
        <v>1</v>
      </c>
      <c r="AA125" s="12">
        <v>1</v>
      </c>
      <c r="AB125" s="12">
        <v>1</v>
      </c>
      <c r="AC125" s="12">
        <v>1</v>
      </c>
      <c r="AD125" s="12">
        <v>1</v>
      </c>
      <c r="AE125" s="12">
        <v>1</v>
      </c>
      <c r="AF125" s="12">
        <v>1</v>
      </c>
      <c r="AG125" s="12">
        <v>1</v>
      </c>
      <c r="AY125" s="12">
        <v>7</v>
      </c>
      <c r="AZ125" s="13" t="s">
        <v>38</v>
      </c>
      <c r="BA125" s="12">
        <v>1</v>
      </c>
      <c r="BB125" s="12">
        <v>1</v>
      </c>
      <c r="BC125" s="12">
        <v>1</v>
      </c>
      <c r="BD125" s="12"/>
      <c r="BE125" s="12"/>
      <c r="BF125" s="12"/>
      <c r="BG125" s="12"/>
      <c r="BH125" s="12"/>
      <c r="BI125" s="12"/>
      <c r="BJ125" s="12"/>
      <c r="BK125" s="12"/>
      <c r="BL125" s="12"/>
    </row>
    <row r="126" spans="2:64" ht="31" x14ac:dyDescent="0.35">
      <c r="B126" s="12">
        <v>13</v>
      </c>
      <c r="C126" s="13" t="s">
        <v>43</v>
      </c>
      <c r="D126" s="24">
        <v>1</v>
      </c>
      <c r="E126" s="24">
        <v>1</v>
      </c>
      <c r="F126" s="24">
        <v>1</v>
      </c>
      <c r="G126" s="24">
        <v>1</v>
      </c>
      <c r="H126" s="24">
        <v>1</v>
      </c>
      <c r="I126" s="24">
        <v>1</v>
      </c>
      <c r="J126" s="24">
        <v>1</v>
      </c>
      <c r="K126" s="24">
        <v>1</v>
      </c>
      <c r="L126" s="24">
        <v>1</v>
      </c>
      <c r="M126" s="24">
        <v>1</v>
      </c>
      <c r="N126" s="24">
        <v>1</v>
      </c>
      <c r="O126" s="24">
        <v>1</v>
      </c>
      <c r="T126" s="12">
        <v>6</v>
      </c>
      <c r="U126" s="13" t="s">
        <v>37</v>
      </c>
      <c r="V126" s="12">
        <v>1</v>
      </c>
      <c r="W126" s="12">
        <v>1</v>
      </c>
      <c r="X126" s="12">
        <v>1</v>
      </c>
      <c r="Y126" s="12">
        <v>1</v>
      </c>
      <c r="Z126" s="12">
        <v>1</v>
      </c>
      <c r="AA126" s="12">
        <v>1</v>
      </c>
      <c r="AB126" s="12">
        <v>1</v>
      </c>
      <c r="AC126" s="12">
        <v>1</v>
      </c>
      <c r="AD126" s="12">
        <v>1</v>
      </c>
      <c r="AE126" s="12">
        <v>1</v>
      </c>
      <c r="AF126" s="12">
        <v>1</v>
      </c>
      <c r="AG126" s="12">
        <v>1</v>
      </c>
      <c r="AY126" s="12">
        <v>8</v>
      </c>
      <c r="AZ126" s="13" t="s">
        <v>39</v>
      </c>
      <c r="BA126" s="12">
        <v>1</v>
      </c>
      <c r="BB126" s="12">
        <v>1</v>
      </c>
      <c r="BC126" s="12">
        <v>1</v>
      </c>
      <c r="BD126" s="12"/>
      <c r="BE126" s="12"/>
      <c r="BF126" s="12"/>
      <c r="BG126" s="12"/>
      <c r="BH126" s="12"/>
      <c r="BI126" s="12"/>
      <c r="BJ126" s="12"/>
      <c r="BK126" s="12"/>
      <c r="BL126" s="12"/>
    </row>
    <row r="127" spans="2:64" ht="46.5" x14ac:dyDescent="0.35">
      <c r="B127" s="12">
        <v>14</v>
      </c>
      <c r="C127" s="13" t="s">
        <v>44</v>
      </c>
      <c r="D127" s="12">
        <v>1</v>
      </c>
      <c r="E127" s="12">
        <v>1</v>
      </c>
      <c r="F127" s="12">
        <v>1</v>
      </c>
      <c r="G127" s="12">
        <v>1</v>
      </c>
      <c r="H127" s="12">
        <v>1</v>
      </c>
      <c r="I127" s="12">
        <v>1</v>
      </c>
      <c r="J127" s="12">
        <v>1</v>
      </c>
      <c r="K127" s="12">
        <v>1</v>
      </c>
      <c r="L127" s="12">
        <v>1</v>
      </c>
      <c r="M127" s="12">
        <v>1</v>
      </c>
      <c r="N127" s="12">
        <v>1</v>
      </c>
      <c r="O127" s="12">
        <v>1</v>
      </c>
      <c r="T127" s="12">
        <v>7</v>
      </c>
      <c r="U127" s="13" t="s">
        <v>38</v>
      </c>
      <c r="V127" s="12">
        <v>1</v>
      </c>
      <c r="W127" s="12">
        <v>1</v>
      </c>
      <c r="X127" s="12">
        <v>1</v>
      </c>
      <c r="Y127" s="12">
        <v>1</v>
      </c>
      <c r="Z127" s="12">
        <v>1</v>
      </c>
      <c r="AA127" s="12">
        <v>1</v>
      </c>
      <c r="AB127" s="12">
        <v>1</v>
      </c>
      <c r="AC127" s="12">
        <v>1</v>
      </c>
      <c r="AD127" s="12">
        <v>1</v>
      </c>
      <c r="AE127" s="12">
        <v>1</v>
      </c>
      <c r="AF127" s="12">
        <v>1</v>
      </c>
      <c r="AG127" s="12">
        <v>1</v>
      </c>
      <c r="AY127" s="12">
        <v>9</v>
      </c>
      <c r="AZ127" s="13" t="s">
        <v>40</v>
      </c>
      <c r="BA127" s="25">
        <v>1</v>
      </c>
      <c r="BB127" s="25">
        <v>1</v>
      </c>
      <c r="BC127" s="25">
        <v>1</v>
      </c>
      <c r="BD127" s="25"/>
      <c r="BE127" s="25"/>
      <c r="BF127" s="25"/>
      <c r="BG127" s="25"/>
      <c r="BH127" s="25"/>
      <c r="BI127" s="25"/>
      <c r="BJ127" s="25"/>
      <c r="BK127" s="25"/>
      <c r="BL127" s="25"/>
    </row>
    <row r="128" spans="2:64" ht="46.5" x14ac:dyDescent="0.35">
      <c r="B128" s="12">
        <v>15</v>
      </c>
      <c r="C128" s="13" t="s">
        <v>46</v>
      </c>
      <c r="D128" s="12">
        <v>1</v>
      </c>
      <c r="E128" s="12">
        <v>1</v>
      </c>
      <c r="F128" s="12">
        <v>1</v>
      </c>
      <c r="G128" s="12">
        <v>1</v>
      </c>
      <c r="H128" s="12">
        <v>1</v>
      </c>
      <c r="I128" s="12">
        <v>1</v>
      </c>
      <c r="J128" s="12">
        <v>1</v>
      </c>
      <c r="K128" s="12">
        <v>1</v>
      </c>
      <c r="L128" s="12">
        <v>1</v>
      </c>
      <c r="M128" s="12">
        <v>1</v>
      </c>
      <c r="N128" s="12">
        <v>1</v>
      </c>
      <c r="O128" s="12">
        <v>1</v>
      </c>
      <c r="T128" s="12">
        <v>8</v>
      </c>
      <c r="U128" s="13" t="s">
        <v>39</v>
      </c>
      <c r="V128" s="12">
        <v>1</v>
      </c>
      <c r="W128" s="12">
        <v>1</v>
      </c>
      <c r="X128" s="12">
        <v>1</v>
      </c>
      <c r="Y128" s="12">
        <v>1</v>
      </c>
      <c r="Z128" s="12">
        <v>1</v>
      </c>
      <c r="AA128" s="12">
        <v>1</v>
      </c>
      <c r="AB128" s="12">
        <v>1</v>
      </c>
      <c r="AC128" s="12">
        <v>1</v>
      </c>
      <c r="AD128" s="12">
        <v>1</v>
      </c>
      <c r="AE128" s="12">
        <v>1</v>
      </c>
      <c r="AF128" s="12">
        <v>1</v>
      </c>
      <c r="AG128" s="12">
        <v>1</v>
      </c>
      <c r="AY128" s="12"/>
      <c r="AZ128" s="23" t="s">
        <v>28</v>
      </c>
      <c r="BA128" s="20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2"/>
    </row>
    <row r="129" spans="2:64" ht="46.5" x14ac:dyDescent="0.35">
      <c r="B129" s="12">
        <v>16</v>
      </c>
      <c r="C129" s="13" t="s">
        <v>45</v>
      </c>
      <c r="D129" s="25">
        <v>0</v>
      </c>
      <c r="E129" s="25">
        <v>0</v>
      </c>
      <c r="F129" s="25">
        <v>0</v>
      </c>
      <c r="G129" s="25">
        <v>0</v>
      </c>
      <c r="H129" s="25">
        <v>0</v>
      </c>
      <c r="I129" s="25">
        <v>0</v>
      </c>
      <c r="J129" s="25">
        <v>0</v>
      </c>
      <c r="K129" s="25">
        <v>0</v>
      </c>
      <c r="L129" s="25">
        <v>0</v>
      </c>
      <c r="M129" s="25">
        <v>0</v>
      </c>
      <c r="N129" s="25">
        <v>0</v>
      </c>
      <c r="O129" s="25">
        <v>0</v>
      </c>
      <c r="T129" s="12">
        <v>9</v>
      </c>
      <c r="U129" s="13" t="s">
        <v>40</v>
      </c>
      <c r="V129" s="25">
        <v>1</v>
      </c>
      <c r="W129" s="25">
        <v>1</v>
      </c>
      <c r="X129" s="25">
        <v>1</v>
      </c>
      <c r="Y129" s="25">
        <v>1</v>
      </c>
      <c r="Z129" s="25">
        <v>1</v>
      </c>
      <c r="AA129" s="25">
        <v>1</v>
      </c>
      <c r="AB129" s="25">
        <v>1</v>
      </c>
      <c r="AC129" s="25">
        <v>1</v>
      </c>
      <c r="AD129" s="25">
        <v>1</v>
      </c>
      <c r="AE129" s="25">
        <v>1</v>
      </c>
      <c r="AF129" s="25">
        <v>1</v>
      </c>
      <c r="AG129" s="25">
        <v>1</v>
      </c>
      <c r="AY129" s="12">
        <v>10</v>
      </c>
      <c r="AZ129" s="13" t="s">
        <v>41</v>
      </c>
      <c r="BA129" s="24">
        <v>1</v>
      </c>
      <c r="BB129" s="24">
        <v>1</v>
      </c>
      <c r="BC129" s="24">
        <v>1</v>
      </c>
      <c r="BD129" s="24"/>
      <c r="BE129" s="24"/>
      <c r="BF129" s="24"/>
      <c r="BG129" s="24"/>
      <c r="BH129" s="24"/>
      <c r="BI129" s="24"/>
      <c r="BJ129" s="24"/>
      <c r="BK129" s="24"/>
      <c r="BL129" s="24"/>
    </row>
    <row r="130" spans="2:64" ht="31" x14ac:dyDescent="0.35">
      <c r="B130" s="12"/>
      <c r="C130" s="23" t="s">
        <v>30</v>
      </c>
      <c r="D130" s="20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2"/>
      <c r="T130" s="12"/>
      <c r="U130" s="23" t="s">
        <v>28</v>
      </c>
      <c r="V130" s="20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2"/>
      <c r="AY130" s="12">
        <v>11</v>
      </c>
      <c r="AZ130" s="13" t="s">
        <v>50</v>
      </c>
      <c r="BA130" s="12">
        <v>1</v>
      </c>
      <c r="BB130" s="12">
        <v>1</v>
      </c>
      <c r="BC130" s="12">
        <v>1</v>
      </c>
      <c r="BD130" s="12"/>
      <c r="BE130" s="12"/>
      <c r="BF130" s="12"/>
      <c r="BG130" s="12"/>
      <c r="BH130" s="12"/>
      <c r="BI130" s="12"/>
      <c r="BJ130" s="12"/>
      <c r="BK130" s="12"/>
      <c r="BL130" s="12"/>
    </row>
    <row r="131" spans="2:64" ht="46.5" x14ac:dyDescent="0.35">
      <c r="B131" s="12">
        <v>17</v>
      </c>
      <c r="C131" s="13" t="s">
        <v>47</v>
      </c>
      <c r="D131" s="24">
        <v>0</v>
      </c>
      <c r="E131" s="24">
        <v>0</v>
      </c>
      <c r="F131" s="24">
        <v>0</v>
      </c>
      <c r="G131" s="24">
        <v>0</v>
      </c>
      <c r="H131" s="24">
        <v>0</v>
      </c>
      <c r="I131" s="24">
        <v>0</v>
      </c>
      <c r="J131" s="24">
        <v>0</v>
      </c>
      <c r="K131" s="24">
        <v>0</v>
      </c>
      <c r="L131" s="24">
        <v>0</v>
      </c>
      <c r="M131" s="24">
        <v>0</v>
      </c>
      <c r="N131" s="24">
        <v>0</v>
      </c>
      <c r="O131" s="24">
        <v>0</v>
      </c>
      <c r="T131" s="12">
        <v>10</v>
      </c>
      <c r="U131" s="13" t="s">
        <v>41</v>
      </c>
      <c r="V131" s="24">
        <v>1</v>
      </c>
      <c r="W131" s="24">
        <v>1</v>
      </c>
      <c r="X131" s="24">
        <v>1</v>
      </c>
      <c r="Y131" s="24">
        <v>1</v>
      </c>
      <c r="Z131" s="24">
        <v>1</v>
      </c>
      <c r="AA131" s="24">
        <v>1</v>
      </c>
      <c r="AB131" s="24">
        <v>1</v>
      </c>
      <c r="AC131" s="24">
        <v>1</v>
      </c>
      <c r="AD131" s="24">
        <v>1</v>
      </c>
      <c r="AE131" s="24">
        <v>1</v>
      </c>
      <c r="AF131" s="24">
        <v>1</v>
      </c>
      <c r="AG131" s="24">
        <v>1</v>
      </c>
      <c r="AY131" s="12">
        <v>12</v>
      </c>
      <c r="AZ131" s="13" t="s">
        <v>42</v>
      </c>
      <c r="BA131" s="25">
        <v>1</v>
      </c>
      <c r="BB131" s="25">
        <v>1</v>
      </c>
      <c r="BC131" s="25">
        <v>1</v>
      </c>
      <c r="BD131" s="25"/>
      <c r="BE131" s="25"/>
      <c r="BF131" s="25"/>
      <c r="BG131" s="25"/>
      <c r="BH131" s="25"/>
      <c r="BI131" s="25"/>
      <c r="BJ131" s="25"/>
      <c r="BK131" s="25"/>
      <c r="BL131" s="25"/>
    </row>
    <row r="132" spans="2:64" ht="62" x14ac:dyDescent="0.35">
      <c r="B132" s="12">
        <v>18</v>
      </c>
      <c r="C132" s="13" t="s">
        <v>33</v>
      </c>
      <c r="D132" s="25">
        <v>0</v>
      </c>
      <c r="E132" s="25">
        <v>0</v>
      </c>
      <c r="F132" s="25">
        <v>0</v>
      </c>
      <c r="G132" s="25">
        <v>0</v>
      </c>
      <c r="H132" s="25">
        <v>0</v>
      </c>
      <c r="I132" s="25">
        <v>0</v>
      </c>
      <c r="J132" s="25">
        <v>0</v>
      </c>
      <c r="K132" s="25">
        <v>0</v>
      </c>
      <c r="L132" s="25">
        <v>0</v>
      </c>
      <c r="M132" s="25">
        <v>0</v>
      </c>
      <c r="N132" s="25">
        <v>0</v>
      </c>
      <c r="O132" s="25">
        <v>0</v>
      </c>
      <c r="T132" s="12">
        <v>11</v>
      </c>
      <c r="U132" s="13" t="s">
        <v>50</v>
      </c>
      <c r="V132" s="12">
        <v>0</v>
      </c>
      <c r="W132" s="12">
        <v>0</v>
      </c>
      <c r="X132" s="12">
        <v>0</v>
      </c>
      <c r="Y132" s="12">
        <v>1</v>
      </c>
      <c r="Z132" s="12">
        <v>1</v>
      </c>
      <c r="AA132" s="12">
        <v>1</v>
      </c>
      <c r="AB132" s="12">
        <v>1</v>
      </c>
      <c r="AC132" s="12">
        <v>1</v>
      </c>
      <c r="AD132" s="12">
        <v>1</v>
      </c>
      <c r="AE132" s="12">
        <v>0</v>
      </c>
      <c r="AF132" s="12">
        <v>0</v>
      </c>
      <c r="AG132" s="12">
        <v>0</v>
      </c>
      <c r="AY132" s="12"/>
      <c r="AZ132" s="19" t="s">
        <v>29</v>
      </c>
      <c r="BA132" s="20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2"/>
    </row>
    <row r="133" spans="2:64" ht="31" x14ac:dyDescent="0.35">
      <c r="B133" s="15"/>
      <c r="C133" s="23" t="s">
        <v>31</v>
      </c>
      <c r="D133" s="17">
        <f>D111+D112+D114+D115+D116+D117+D118+D119+D120+D122+D123+D124+D126+D127+D128+D129+D131+D132</f>
        <v>12</v>
      </c>
      <c r="E133" s="17">
        <f t="shared" ref="E133:O133" si="187">E111+E112+E114+E115+E116+E117+E118+E119+E120+E122+E123+E124+E126+E127+E128+E129+E131+E132</f>
        <v>14</v>
      </c>
      <c r="F133" s="17">
        <f t="shared" si="187"/>
        <v>15</v>
      </c>
      <c r="G133" s="17">
        <f t="shared" si="187"/>
        <v>10</v>
      </c>
      <c r="H133" s="17">
        <f t="shared" si="187"/>
        <v>10</v>
      </c>
      <c r="I133" s="17">
        <f t="shared" si="187"/>
        <v>10</v>
      </c>
      <c r="J133" s="17">
        <f t="shared" si="187"/>
        <v>13</v>
      </c>
      <c r="K133" s="17">
        <f t="shared" si="187"/>
        <v>13</v>
      </c>
      <c r="L133" s="17">
        <f t="shared" si="187"/>
        <v>14</v>
      </c>
      <c r="M133" s="17">
        <f t="shared" si="187"/>
        <v>14</v>
      </c>
      <c r="N133" s="17">
        <f t="shared" si="187"/>
        <v>13</v>
      </c>
      <c r="O133" s="17">
        <f t="shared" si="187"/>
        <v>13</v>
      </c>
      <c r="T133" s="12">
        <v>12</v>
      </c>
      <c r="U133" s="13" t="s">
        <v>42</v>
      </c>
      <c r="V133" s="25">
        <v>1</v>
      </c>
      <c r="W133" s="25">
        <v>1</v>
      </c>
      <c r="X133" s="25">
        <v>1</v>
      </c>
      <c r="Y133" s="25">
        <v>1</v>
      </c>
      <c r="Z133" s="25">
        <v>1</v>
      </c>
      <c r="AA133" s="25">
        <v>1</v>
      </c>
      <c r="AB133" s="25">
        <v>1</v>
      </c>
      <c r="AC133" s="25">
        <v>1</v>
      </c>
      <c r="AD133" s="25">
        <v>1</v>
      </c>
      <c r="AE133" s="25">
        <v>1</v>
      </c>
      <c r="AF133" s="25">
        <v>1</v>
      </c>
      <c r="AG133" s="25">
        <v>1</v>
      </c>
      <c r="AY133" s="12">
        <v>13</v>
      </c>
      <c r="AZ133" s="13" t="s">
        <v>43</v>
      </c>
      <c r="BA133" s="24">
        <v>1</v>
      </c>
      <c r="BB133" s="24">
        <v>1</v>
      </c>
      <c r="BC133" s="24">
        <v>1</v>
      </c>
      <c r="BD133" s="24"/>
      <c r="BE133" s="24"/>
      <c r="BF133" s="24"/>
      <c r="BG133" s="24"/>
      <c r="BH133" s="24"/>
      <c r="BI133" s="24"/>
      <c r="BJ133" s="24"/>
      <c r="BK133" s="24"/>
      <c r="BL133" s="24"/>
    </row>
    <row r="134" spans="2:64" ht="60" x14ac:dyDescent="0.35">
      <c r="B134" s="16" t="s">
        <v>32</v>
      </c>
      <c r="C134" s="17"/>
      <c r="D134" s="24">
        <f>D133/18</f>
        <v>0.66666666666666663</v>
      </c>
      <c r="E134" s="24">
        <f t="shared" ref="E134:O134" si="188">E133/18</f>
        <v>0.77777777777777779</v>
      </c>
      <c r="F134" s="24">
        <f t="shared" si="188"/>
        <v>0.83333333333333337</v>
      </c>
      <c r="G134" s="24">
        <f t="shared" si="188"/>
        <v>0.55555555555555558</v>
      </c>
      <c r="H134" s="24">
        <f t="shared" si="188"/>
        <v>0.55555555555555558</v>
      </c>
      <c r="I134" s="24">
        <f t="shared" si="188"/>
        <v>0.55555555555555558</v>
      </c>
      <c r="J134" s="24">
        <f t="shared" si="188"/>
        <v>0.72222222222222221</v>
      </c>
      <c r="K134" s="24">
        <f t="shared" si="188"/>
        <v>0.72222222222222221</v>
      </c>
      <c r="L134" s="24">
        <f t="shared" si="188"/>
        <v>0.77777777777777779</v>
      </c>
      <c r="M134" s="24">
        <f t="shared" si="188"/>
        <v>0.77777777777777779</v>
      </c>
      <c r="N134" s="24">
        <f t="shared" si="188"/>
        <v>0.72222222222222221</v>
      </c>
      <c r="O134" s="24">
        <f t="shared" si="188"/>
        <v>0.72222222222222221</v>
      </c>
      <c r="T134" s="12"/>
      <c r="U134" s="19" t="s">
        <v>29</v>
      </c>
      <c r="V134" s="20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2"/>
      <c r="AY134" s="12">
        <v>14</v>
      </c>
      <c r="AZ134" s="13" t="s">
        <v>44</v>
      </c>
      <c r="BA134" s="12">
        <v>1</v>
      </c>
      <c r="BB134" s="12">
        <v>1</v>
      </c>
      <c r="BC134" s="12">
        <v>1</v>
      </c>
      <c r="BD134" s="12"/>
      <c r="BE134" s="12"/>
      <c r="BF134" s="12"/>
      <c r="BG134" s="12"/>
      <c r="BH134" s="12"/>
      <c r="BI134" s="12"/>
      <c r="BJ134" s="12"/>
      <c r="BK134" s="12"/>
      <c r="BL134" s="12"/>
    </row>
    <row r="135" spans="2:64" ht="46.5" x14ac:dyDescent="0.35">
      <c r="T135" s="12">
        <v>13</v>
      </c>
      <c r="U135" s="13" t="s">
        <v>43</v>
      </c>
      <c r="V135" s="24">
        <v>1</v>
      </c>
      <c r="W135" s="24">
        <v>1</v>
      </c>
      <c r="X135" s="24">
        <v>1</v>
      </c>
      <c r="Y135" s="24">
        <v>1</v>
      </c>
      <c r="Z135" s="24">
        <v>1</v>
      </c>
      <c r="AA135" s="24">
        <v>1</v>
      </c>
      <c r="AB135" s="24">
        <v>1</v>
      </c>
      <c r="AC135" s="24">
        <v>1</v>
      </c>
      <c r="AD135" s="24">
        <v>1</v>
      </c>
      <c r="AE135" s="24">
        <v>0</v>
      </c>
      <c r="AF135" s="24">
        <v>0</v>
      </c>
      <c r="AG135" s="24">
        <v>0</v>
      </c>
      <c r="AY135" s="12">
        <v>15</v>
      </c>
      <c r="AZ135" s="13" t="s">
        <v>46</v>
      </c>
      <c r="BA135" s="12">
        <v>0</v>
      </c>
      <c r="BB135" s="12">
        <v>0</v>
      </c>
      <c r="BC135" s="12">
        <v>0</v>
      </c>
      <c r="BD135" s="12"/>
      <c r="BE135" s="12"/>
      <c r="BF135" s="12"/>
      <c r="BG135" s="12"/>
      <c r="BH135" s="12"/>
      <c r="BI135" s="12"/>
      <c r="BJ135" s="12"/>
      <c r="BK135" s="12"/>
      <c r="BL135" s="12"/>
    </row>
    <row r="136" spans="2:64" ht="46.5" x14ac:dyDescent="0.35">
      <c r="B136" s="62" t="s">
        <v>0</v>
      </c>
      <c r="C136" s="10" t="s">
        <v>25</v>
      </c>
      <c r="D136" s="57" t="s">
        <v>64</v>
      </c>
      <c r="E136" s="58"/>
      <c r="F136" s="59"/>
      <c r="G136" s="57" t="s">
        <v>65</v>
      </c>
      <c r="H136" s="58"/>
      <c r="I136" s="59"/>
      <c r="J136" s="57" t="s">
        <v>21</v>
      </c>
      <c r="K136" s="58"/>
      <c r="L136" s="59"/>
      <c r="M136" s="57" t="s">
        <v>67</v>
      </c>
      <c r="N136" s="58"/>
      <c r="O136" s="59"/>
      <c r="T136" s="12">
        <v>14</v>
      </c>
      <c r="U136" s="13" t="s">
        <v>44</v>
      </c>
      <c r="V136" s="12">
        <v>1</v>
      </c>
      <c r="W136" s="12">
        <v>1</v>
      </c>
      <c r="X136" s="12">
        <v>1</v>
      </c>
      <c r="Y136" s="12">
        <v>1</v>
      </c>
      <c r="Z136" s="12">
        <v>1</v>
      </c>
      <c r="AA136" s="12">
        <v>1</v>
      </c>
      <c r="AB136" s="12">
        <v>1</v>
      </c>
      <c r="AC136" s="12">
        <v>1</v>
      </c>
      <c r="AD136" s="12">
        <v>1</v>
      </c>
      <c r="AE136" s="12">
        <v>1</v>
      </c>
      <c r="AF136" s="12">
        <v>1</v>
      </c>
      <c r="AG136" s="12">
        <v>1</v>
      </c>
      <c r="AY136" s="12">
        <v>16</v>
      </c>
      <c r="AZ136" s="13" t="s">
        <v>45</v>
      </c>
      <c r="BA136" s="25">
        <v>0</v>
      </c>
      <c r="BB136" s="25">
        <v>0</v>
      </c>
      <c r="BC136" s="25">
        <v>0</v>
      </c>
      <c r="BD136" s="25"/>
      <c r="BE136" s="25"/>
      <c r="BF136" s="25"/>
      <c r="BG136" s="25"/>
      <c r="BH136" s="25"/>
      <c r="BI136" s="25"/>
      <c r="BJ136" s="25"/>
      <c r="BK136" s="25"/>
      <c r="BL136" s="25"/>
    </row>
    <row r="137" spans="2:64" ht="36.5" customHeight="1" x14ac:dyDescent="0.35">
      <c r="B137" s="63"/>
      <c r="C137" s="11" t="s">
        <v>26</v>
      </c>
      <c r="D137" s="14">
        <v>2022</v>
      </c>
      <c r="E137" s="14">
        <v>2023</v>
      </c>
      <c r="F137" s="14">
        <v>2024</v>
      </c>
      <c r="G137" s="14">
        <v>2022</v>
      </c>
      <c r="H137" s="14">
        <v>2023</v>
      </c>
      <c r="I137" s="14">
        <v>2024</v>
      </c>
      <c r="J137" s="14">
        <v>2022</v>
      </c>
      <c r="K137" s="14">
        <v>2023</v>
      </c>
      <c r="L137" s="14">
        <v>2024</v>
      </c>
      <c r="M137" s="14">
        <v>2022</v>
      </c>
      <c r="N137" s="14">
        <v>2023</v>
      </c>
      <c r="O137" s="14">
        <v>2024</v>
      </c>
      <c r="T137" s="12">
        <v>15</v>
      </c>
      <c r="U137" s="13" t="s">
        <v>46</v>
      </c>
      <c r="V137" s="12">
        <v>1</v>
      </c>
      <c r="W137" s="12">
        <v>1</v>
      </c>
      <c r="X137" s="12">
        <v>1</v>
      </c>
      <c r="Y137" s="12">
        <v>1</v>
      </c>
      <c r="Z137" s="12">
        <v>1</v>
      </c>
      <c r="AA137" s="12">
        <v>1</v>
      </c>
      <c r="AB137" s="12">
        <v>1</v>
      </c>
      <c r="AC137" s="12">
        <v>1</v>
      </c>
      <c r="AD137" s="12">
        <v>1</v>
      </c>
      <c r="AE137" s="12">
        <v>0</v>
      </c>
      <c r="AF137" s="12">
        <v>0</v>
      </c>
      <c r="AG137" s="12">
        <v>0</v>
      </c>
      <c r="AY137" s="12"/>
      <c r="AZ137" s="23" t="s">
        <v>30</v>
      </c>
      <c r="BA137" s="20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2"/>
    </row>
    <row r="138" spans="2:64" ht="47" customHeight="1" x14ac:dyDescent="0.35">
      <c r="B138" s="12">
        <v>1</v>
      </c>
      <c r="C138" s="18" t="s">
        <v>49</v>
      </c>
      <c r="D138" s="12">
        <v>1</v>
      </c>
      <c r="E138" s="12">
        <v>1</v>
      </c>
      <c r="F138" s="12">
        <v>1</v>
      </c>
      <c r="G138" s="12">
        <v>0</v>
      </c>
      <c r="H138" s="12">
        <v>0</v>
      </c>
      <c r="I138" s="12">
        <v>1</v>
      </c>
      <c r="J138" s="12">
        <v>1</v>
      </c>
      <c r="K138" s="12">
        <v>1</v>
      </c>
      <c r="L138" s="12">
        <v>1</v>
      </c>
      <c r="M138" s="12">
        <v>1</v>
      </c>
      <c r="N138" s="12">
        <v>1</v>
      </c>
      <c r="O138" s="12">
        <v>1</v>
      </c>
      <c r="T138" s="12">
        <v>16</v>
      </c>
      <c r="U138" s="13" t="s">
        <v>45</v>
      </c>
      <c r="V138" s="25">
        <v>0</v>
      </c>
      <c r="W138" s="25">
        <v>0</v>
      </c>
      <c r="X138" s="25">
        <v>0</v>
      </c>
      <c r="Y138" s="25">
        <v>0</v>
      </c>
      <c r="Z138" s="25">
        <v>0</v>
      </c>
      <c r="AA138" s="25">
        <v>0</v>
      </c>
      <c r="AB138" s="25">
        <v>0</v>
      </c>
      <c r="AC138" s="25">
        <v>0</v>
      </c>
      <c r="AD138" s="25">
        <v>0</v>
      </c>
      <c r="AE138" s="25">
        <v>0</v>
      </c>
      <c r="AF138" s="25">
        <v>0</v>
      </c>
      <c r="AG138" s="25">
        <v>0</v>
      </c>
      <c r="AY138" s="12">
        <v>17</v>
      </c>
      <c r="AZ138" s="13" t="s">
        <v>47</v>
      </c>
      <c r="BA138" s="24">
        <v>0</v>
      </c>
      <c r="BB138" s="24">
        <v>0</v>
      </c>
      <c r="BC138" s="24">
        <v>0</v>
      </c>
      <c r="BD138" s="24"/>
      <c r="BE138" s="24"/>
      <c r="BF138" s="24"/>
      <c r="BG138" s="24"/>
      <c r="BH138" s="24"/>
      <c r="BI138" s="24"/>
      <c r="BJ138" s="24"/>
      <c r="BK138" s="24"/>
      <c r="BL138" s="24"/>
    </row>
    <row r="139" spans="2:64" ht="46.5" x14ac:dyDescent="0.35">
      <c r="B139" s="12">
        <v>2</v>
      </c>
      <c r="C139" s="13" t="s">
        <v>34</v>
      </c>
      <c r="D139" s="25">
        <v>0</v>
      </c>
      <c r="E139" s="25">
        <v>0</v>
      </c>
      <c r="F139" s="25">
        <v>1</v>
      </c>
      <c r="G139" s="25">
        <v>0</v>
      </c>
      <c r="H139" s="25">
        <v>0</v>
      </c>
      <c r="I139" s="25">
        <v>0</v>
      </c>
      <c r="J139" s="25">
        <v>0</v>
      </c>
      <c r="K139" s="25">
        <v>0</v>
      </c>
      <c r="L139" s="25">
        <v>0</v>
      </c>
      <c r="M139" s="25">
        <v>1</v>
      </c>
      <c r="N139" s="25">
        <v>1</v>
      </c>
      <c r="O139" s="25">
        <v>1</v>
      </c>
      <c r="T139" s="12"/>
      <c r="U139" s="23" t="s">
        <v>30</v>
      </c>
      <c r="V139" s="20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2"/>
      <c r="AY139" s="12">
        <v>18</v>
      </c>
      <c r="AZ139" s="13" t="s">
        <v>33</v>
      </c>
      <c r="BA139" s="25">
        <v>0</v>
      </c>
      <c r="BB139" s="25">
        <v>0</v>
      </c>
      <c r="BC139" s="25">
        <v>0</v>
      </c>
      <c r="BD139" s="25"/>
      <c r="BE139" s="25"/>
      <c r="BF139" s="25"/>
      <c r="BG139" s="25"/>
      <c r="BH139" s="25"/>
      <c r="BI139" s="25"/>
      <c r="BJ139" s="25"/>
      <c r="BK139" s="25"/>
      <c r="BL139" s="25"/>
    </row>
    <row r="140" spans="2:64" ht="37.5" customHeight="1" x14ac:dyDescent="0.35">
      <c r="B140" s="12"/>
      <c r="C140" s="19" t="s">
        <v>27</v>
      </c>
      <c r="D140" s="20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2"/>
      <c r="T140" s="12">
        <v>17</v>
      </c>
      <c r="U140" s="13" t="s">
        <v>47</v>
      </c>
      <c r="V140" s="24">
        <v>0</v>
      </c>
      <c r="W140" s="24">
        <v>0</v>
      </c>
      <c r="X140" s="24">
        <v>0</v>
      </c>
      <c r="Y140" s="24">
        <v>0</v>
      </c>
      <c r="Z140" s="24">
        <v>0</v>
      </c>
      <c r="AA140" s="24">
        <v>0</v>
      </c>
      <c r="AB140" s="24">
        <v>0</v>
      </c>
      <c r="AC140" s="24">
        <v>0</v>
      </c>
      <c r="AD140" s="24">
        <v>0</v>
      </c>
      <c r="AE140" s="24">
        <v>0</v>
      </c>
      <c r="AF140" s="24">
        <v>0</v>
      </c>
      <c r="AG140" s="24">
        <v>0</v>
      </c>
      <c r="AY140" s="15"/>
      <c r="AZ140" s="37" t="s">
        <v>31</v>
      </c>
      <c r="BA140" s="17">
        <f t="shared" ref="BA140" si="189">BA118+BA119+BA121+BA122+BA123+BA124+BA125+BA126+BA127+BA129+BA130+BA131+BA133+BA134+BA135+BA136+BA138+BA139</f>
        <v>10</v>
      </c>
      <c r="BB140" s="17">
        <f t="shared" ref="BB140" si="190">BB118+BB119+BB121+BB122+BB123+BB124+BB125+BB126+BB127+BB129+BB130+BB131+BB133+BB134+BB135+BB136+BB138+BB139</f>
        <v>11</v>
      </c>
      <c r="BC140" s="17">
        <f t="shared" ref="BC140" si="191">BC118+BC119+BC121+BC122+BC123+BC124+BC125+BC126+BC127+BC129+BC130+BC131+BC133+BC134+BC135+BC136+BC138+BC139</f>
        <v>11</v>
      </c>
      <c r="BD140" s="17">
        <f>BD118+BD119+BD121+BD122+BD123+BD124+BD125+BD126+BD127+BD129+BD130+BD131+BD133+BD134+BD135+BD136+BD138+BD139</f>
        <v>0</v>
      </c>
      <c r="BE140" s="17">
        <f>BE118+BE119+BE121+BE122+BE123+BE124+BE125+BE126+BE127+BE129+BE130+BE131+BE133+BE134+BE135+BE136+BE138+BE139</f>
        <v>0</v>
      </c>
      <c r="BF140" s="17">
        <f t="shared" ref="BF140" si="192">BF118+BF119+BF121+BF122+BF123+BF124+BF125+BF126+BF127+BF129+BF130+BF131+BF133+BF134+BF135+BF136+BF138+BF139</f>
        <v>0</v>
      </c>
      <c r="BG140" s="17">
        <f t="shared" ref="BG140" si="193">BG118+BG119+BG121+BG122+BG123+BG124+BG125+BG126+BG127+BG129+BG130+BG131+BG133+BG134+BG135+BG136+BG138+BG139</f>
        <v>0</v>
      </c>
      <c r="BH140" s="17">
        <f t="shared" ref="BH140" si="194">BH118+BH119+BH121+BH122+BH123+BH124+BH125+BH126+BH127+BH129+BH130+BH131+BH133+BH134+BH135+BH136+BH138+BH139</f>
        <v>0</v>
      </c>
      <c r="BI140" s="17">
        <f t="shared" ref="BI140" si="195">BI118+BI119+BI121+BI122+BI123+BI124+BI125+BI126+BI127+BI129+BI130+BI131+BI133+BI134+BI135+BI136+BI138+BI139</f>
        <v>0</v>
      </c>
      <c r="BJ140" s="17">
        <f t="shared" ref="BJ140" si="196">BJ118+BJ119+BJ121+BJ122+BJ123+BJ124+BJ125+BJ126+BJ127+BJ129+BJ130+BJ131+BJ133+BJ134+BJ135+BJ136+BJ138+BJ139</f>
        <v>0</v>
      </c>
      <c r="BK140" s="17">
        <f t="shared" ref="BK140" si="197">BK118+BK119+BK121+BK122+BK123+BK124+BK125+BK126+BK127+BK129+BK130+BK131+BK133+BK134+BK135+BK136+BK138+BK139</f>
        <v>0</v>
      </c>
      <c r="BL140" s="17">
        <f t="shared" ref="BL140" si="198">BL118+BL119+BL121+BL122+BL123+BL124+BL125+BL126+BL127+BL129+BL130+BL131+BL133+BL134+BL135+BL136+BL138+BL139</f>
        <v>0</v>
      </c>
    </row>
    <row r="141" spans="2:64" ht="77.5" x14ac:dyDescent="0.35">
      <c r="B141" s="12">
        <v>3</v>
      </c>
      <c r="C141" s="13" t="s">
        <v>48</v>
      </c>
      <c r="D141" s="24">
        <v>0</v>
      </c>
      <c r="E141" s="24">
        <v>0</v>
      </c>
      <c r="F141" s="24">
        <v>0</v>
      </c>
      <c r="G141" s="24">
        <v>0</v>
      </c>
      <c r="H141" s="24">
        <v>0</v>
      </c>
      <c r="I141" s="24">
        <v>0</v>
      </c>
      <c r="J141" s="24">
        <v>1</v>
      </c>
      <c r="K141" s="24">
        <v>1</v>
      </c>
      <c r="L141" s="24">
        <v>1</v>
      </c>
      <c r="M141" s="24">
        <v>0</v>
      </c>
      <c r="N141" s="24">
        <v>0</v>
      </c>
      <c r="O141" s="24">
        <v>1</v>
      </c>
      <c r="T141" s="12">
        <v>18</v>
      </c>
      <c r="U141" s="13" t="s">
        <v>33</v>
      </c>
      <c r="V141" s="25">
        <v>0</v>
      </c>
      <c r="W141" s="25">
        <v>0</v>
      </c>
      <c r="X141" s="25">
        <v>0</v>
      </c>
      <c r="Y141" s="25">
        <v>0</v>
      </c>
      <c r="Z141" s="25">
        <v>0</v>
      </c>
      <c r="AA141" s="25">
        <v>0</v>
      </c>
      <c r="AB141" s="25">
        <v>0</v>
      </c>
      <c r="AC141" s="25">
        <v>0</v>
      </c>
      <c r="AD141" s="25">
        <v>0</v>
      </c>
      <c r="AE141" s="25">
        <v>0</v>
      </c>
      <c r="AF141" s="25">
        <v>0</v>
      </c>
      <c r="AG141" s="25">
        <v>0</v>
      </c>
      <c r="AY141" s="16" t="s">
        <v>32</v>
      </c>
      <c r="AZ141" s="17"/>
      <c r="BA141" s="30">
        <f t="shared" ref="BA141" si="199">BA140/18</f>
        <v>0.55555555555555558</v>
      </c>
      <c r="BB141" s="30">
        <f t="shared" ref="BB141" si="200">BB140/18</f>
        <v>0.61111111111111116</v>
      </c>
      <c r="BC141" s="30">
        <f t="shared" ref="BC141" si="201">BC140/18</f>
        <v>0.61111111111111116</v>
      </c>
      <c r="BD141" s="30">
        <f>BD140/18</f>
        <v>0</v>
      </c>
      <c r="BE141" s="30">
        <f t="shared" ref="BE141" si="202">BE140/18</f>
        <v>0</v>
      </c>
      <c r="BF141" s="30">
        <f t="shared" ref="BF141" si="203">BF140/18</f>
        <v>0</v>
      </c>
      <c r="BG141" s="30">
        <f t="shared" ref="BG141" si="204">BG140/18</f>
        <v>0</v>
      </c>
      <c r="BH141" s="30">
        <f t="shared" ref="BH141" si="205">BH140/18</f>
        <v>0</v>
      </c>
      <c r="BI141" s="30">
        <f t="shared" ref="BI141" si="206">BI140/18</f>
        <v>0</v>
      </c>
      <c r="BJ141" s="30">
        <f t="shared" ref="BJ141" si="207">BJ140/18</f>
        <v>0</v>
      </c>
      <c r="BK141" s="30">
        <f t="shared" ref="BK141" si="208">BK140/18</f>
        <v>0</v>
      </c>
      <c r="BL141" s="30">
        <f t="shared" ref="BL141" si="209">BL140/18</f>
        <v>0</v>
      </c>
    </row>
    <row r="142" spans="2:64" ht="46.5" x14ac:dyDescent="0.35">
      <c r="B142" s="12">
        <v>4</v>
      </c>
      <c r="C142" s="13" t="s">
        <v>35</v>
      </c>
      <c r="D142" s="12">
        <v>0</v>
      </c>
      <c r="E142" s="12">
        <v>0</v>
      </c>
      <c r="F142" s="12">
        <v>1</v>
      </c>
      <c r="G142" s="12">
        <v>0</v>
      </c>
      <c r="H142" s="12">
        <v>0</v>
      </c>
      <c r="I142" s="12">
        <v>1</v>
      </c>
      <c r="J142" s="12">
        <v>1</v>
      </c>
      <c r="K142" s="12">
        <v>1</v>
      </c>
      <c r="L142" s="12">
        <v>1</v>
      </c>
      <c r="M142" s="12">
        <v>0</v>
      </c>
      <c r="N142" s="12">
        <v>1</v>
      </c>
      <c r="O142" s="12">
        <v>1</v>
      </c>
      <c r="T142" s="15"/>
      <c r="U142" s="37" t="s">
        <v>31</v>
      </c>
      <c r="V142" s="17">
        <f t="shared" ref="V142:AF142" si="210">V120+V121+V123+V124+V125+V126+V127+V128+V129+V131+V132+V133+V135+V136+V137+V138+V140+V141</f>
        <v>11</v>
      </c>
      <c r="W142" s="17">
        <f t="shared" si="210"/>
        <v>11</v>
      </c>
      <c r="X142" s="17">
        <f t="shared" si="210"/>
        <v>11</v>
      </c>
      <c r="Y142" s="17">
        <f t="shared" si="210"/>
        <v>14</v>
      </c>
      <c r="Z142" s="17">
        <f t="shared" si="210"/>
        <v>14</v>
      </c>
      <c r="AA142" s="17">
        <f t="shared" si="210"/>
        <v>15</v>
      </c>
      <c r="AB142" s="17">
        <f t="shared" si="210"/>
        <v>15</v>
      </c>
      <c r="AC142" s="17">
        <f t="shared" si="210"/>
        <v>15</v>
      </c>
      <c r="AD142" s="17">
        <f t="shared" si="210"/>
        <v>15</v>
      </c>
      <c r="AE142" s="17">
        <f t="shared" si="210"/>
        <v>8</v>
      </c>
      <c r="AF142" s="17">
        <f t="shared" si="210"/>
        <v>8</v>
      </c>
      <c r="AG142" s="17">
        <f t="shared" ref="AG142" si="211">AG120+AG121+AG123+AG124+AG125+AG126+AG127+AG128+AG129+AG131+AG132+AG133+AG135+AG136+AG137+AG138+AG140+AG141</f>
        <v>8</v>
      </c>
    </row>
    <row r="143" spans="2:64" ht="75" x14ac:dyDescent="0.35">
      <c r="B143" s="12">
        <v>5</v>
      </c>
      <c r="C143" s="13" t="s">
        <v>36</v>
      </c>
      <c r="D143" s="12">
        <v>1</v>
      </c>
      <c r="E143" s="12">
        <v>1</v>
      </c>
      <c r="F143" s="12">
        <v>1</v>
      </c>
      <c r="G143" s="12">
        <v>1</v>
      </c>
      <c r="H143" s="12">
        <v>1</v>
      </c>
      <c r="I143" s="12">
        <v>1</v>
      </c>
      <c r="J143" s="12">
        <v>1</v>
      </c>
      <c r="K143" s="12">
        <v>1</v>
      </c>
      <c r="L143" s="12">
        <v>1</v>
      </c>
      <c r="M143" s="12">
        <v>1</v>
      </c>
      <c r="N143" s="12">
        <v>1</v>
      </c>
      <c r="O143" s="12">
        <v>1</v>
      </c>
      <c r="T143" s="16" t="s">
        <v>32</v>
      </c>
      <c r="U143" s="17"/>
      <c r="V143" s="30">
        <f t="shared" ref="V143:AF143" si="212">V142/18</f>
        <v>0.61111111111111116</v>
      </c>
      <c r="W143" s="30">
        <f t="shared" si="212"/>
        <v>0.61111111111111116</v>
      </c>
      <c r="X143" s="30">
        <f t="shared" si="212"/>
        <v>0.61111111111111116</v>
      </c>
      <c r="Y143" s="30">
        <f t="shared" si="212"/>
        <v>0.77777777777777779</v>
      </c>
      <c r="Z143" s="30">
        <f t="shared" si="212"/>
        <v>0.77777777777777779</v>
      </c>
      <c r="AA143" s="30">
        <f t="shared" si="212"/>
        <v>0.83333333333333337</v>
      </c>
      <c r="AB143" s="30">
        <f t="shared" si="212"/>
        <v>0.83333333333333337</v>
      </c>
      <c r="AC143" s="30">
        <f t="shared" si="212"/>
        <v>0.83333333333333337</v>
      </c>
      <c r="AD143" s="30">
        <f t="shared" si="212"/>
        <v>0.83333333333333337</v>
      </c>
      <c r="AE143" s="30">
        <f t="shared" si="212"/>
        <v>0.44444444444444442</v>
      </c>
      <c r="AF143" s="30">
        <f t="shared" si="212"/>
        <v>0.44444444444444442</v>
      </c>
      <c r="AG143" s="30">
        <f t="shared" ref="AG143" si="213">AG142/18</f>
        <v>0.44444444444444442</v>
      </c>
      <c r="AZ143" s="50" t="s">
        <v>158</v>
      </c>
    </row>
    <row r="144" spans="2:64" ht="31" x14ac:dyDescent="0.35">
      <c r="B144" s="12">
        <v>6</v>
      </c>
      <c r="C144" s="13" t="s">
        <v>37</v>
      </c>
      <c r="D144" s="12">
        <v>1</v>
      </c>
      <c r="E144" s="12">
        <v>1</v>
      </c>
      <c r="F144" s="12">
        <v>1</v>
      </c>
      <c r="G144" s="12">
        <v>1</v>
      </c>
      <c r="H144" s="12">
        <v>1</v>
      </c>
      <c r="I144" s="12">
        <v>1</v>
      </c>
      <c r="J144" s="12">
        <v>1</v>
      </c>
      <c r="K144" s="12">
        <v>1</v>
      </c>
      <c r="L144" s="12">
        <v>1</v>
      </c>
      <c r="M144" s="12">
        <v>1</v>
      </c>
      <c r="N144" s="12">
        <v>1</v>
      </c>
      <c r="O144" s="12">
        <v>1</v>
      </c>
      <c r="AY144" s="35" t="s">
        <v>0</v>
      </c>
      <c r="AZ144" s="10" t="s">
        <v>25</v>
      </c>
      <c r="BA144" s="37" t="s">
        <v>103</v>
      </c>
      <c r="BB144" s="38"/>
      <c r="BC144" s="39"/>
      <c r="BD144" s="37" t="s">
        <v>104</v>
      </c>
      <c r="BE144" s="38"/>
      <c r="BF144" s="39"/>
      <c r="BG144" s="37" t="s">
        <v>105</v>
      </c>
      <c r="BH144" s="38"/>
      <c r="BI144" s="39"/>
      <c r="BJ144" s="37"/>
      <c r="BK144" s="38"/>
      <c r="BL144" s="39"/>
    </row>
    <row r="145" spans="2:64" ht="31" x14ac:dyDescent="0.35">
      <c r="B145" s="12">
        <v>7</v>
      </c>
      <c r="C145" s="13" t="s">
        <v>38</v>
      </c>
      <c r="D145" s="12">
        <v>1</v>
      </c>
      <c r="E145" s="12">
        <v>1</v>
      </c>
      <c r="F145" s="12">
        <v>1</v>
      </c>
      <c r="G145" s="12">
        <v>1</v>
      </c>
      <c r="H145" s="12">
        <v>1</v>
      </c>
      <c r="I145" s="12">
        <v>1</v>
      </c>
      <c r="J145" s="12">
        <v>1</v>
      </c>
      <c r="K145" s="12">
        <v>1</v>
      </c>
      <c r="L145" s="12">
        <v>1</v>
      </c>
      <c r="M145" s="12">
        <v>1</v>
      </c>
      <c r="N145" s="12">
        <v>1</v>
      </c>
      <c r="O145" s="12">
        <v>1</v>
      </c>
      <c r="T145" s="35" t="s">
        <v>0</v>
      </c>
      <c r="U145" s="10" t="s">
        <v>25</v>
      </c>
      <c r="V145" s="57" t="s">
        <v>161</v>
      </c>
      <c r="W145" s="58"/>
      <c r="X145" s="59"/>
      <c r="Y145" s="57"/>
      <c r="Z145" s="58"/>
      <c r="AA145" s="59"/>
      <c r="AB145" s="57"/>
      <c r="AC145" s="58"/>
      <c r="AD145" s="59"/>
      <c r="AE145" s="57"/>
      <c r="AF145" s="58"/>
      <c r="AG145" s="59"/>
      <c r="AY145" s="36"/>
      <c r="AZ145" s="11" t="s">
        <v>26</v>
      </c>
      <c r="BA145" s="14">
        <v>2022</v>
      </c>
      <c r="BB145" s="14">
        <v>2023</v>
      </c>
      <c r="BC145" s="14">
        <v>2024</v>
      </c>
      <c r="BD145" s="14">
        <v>2022</v>
      </c>
      <c r="BE145" s="14">
        <v>2023</v>
      </c>
      <c r="BF145" s="14">
        <v>2024</v>
      </c>
      <c r="BG145" s="14">
        <v>2022</v>
      </c>
      <c r="BH145" s="14">
        <v>2023</v>
      </c>
      <c r="BI145" s="14">
        <v>2024</v>
      </c>
      <c r="BJ145" s="14">
        <v>2022</v>
      </c>
      <c r="BK145" s="14">
        <v>2023</v>
      </c>
      <c r="BL145" s="14">
        <v>2024</v>
      </c>
    </row>
    <row r="146" spans="2:64" ht="46.5" x14ac:dyDescent="0.35">
      <c r="B146" s="12">
        <v>8</v>
      </c>
      <c r="C146" s="13" t="s">
        <v>39</v>
      </c>
      <c r="D146" s="12">
        <v>1</v>
      </c>
      <c r="E146" s="12">
        <v>1</v>
      </c>
      <c r="F146" s="12">
        <v>1</v>
      </c>
      <c r="G146" s="12">
        <v>1</v>
      </c>
      <c r="H146" s="12">
        <v>1</v>
      </c>
      <c r="I146" s="12">
        <v>1</v>
      </c>
      <c r="J146" s="12">
        <v>1</v>
      </c>
      <c r="K146" s="12">
        <v>1</v>
      </c>
      <c r="L146" s="12">
        <v>1</v>
      </c>
      <c r="M146" s="12">
        <v>1</v>
      </c>
      <c r="N146" s="12">
        <v>1</v>
      </c>
      <c r="O146" s="12">
        <v>1</v>
      </c>
      <c r="T146" s="36"/>
      <c r="U146" s="11" t="s">
        <v>26</v>
      </c>
      <c r="V146" s="14">
        <v>2022</v>
      </c>
      <c r="W146" s="14">
        <v>2023</v>
      </c>
      <c r="X146" s="14">
        <v>2024</v>
      </c>
      <c r="Y146" s="14">
        <v>2022</v>
      </c>
      <c r="Z146" s="14">
        <v>2023</v>
      </c>
      <c r="AA146" s="14">
        <v>2024</v>
      </c>
      <c r="AB146" s="14">
        <v>2022</v>
      </c>
      <c r="AC146" s="14">
        <v>2023</v>
      </c>
      <c r="AD146" s="14">
        <v>2024</v>
      </c>
      <c r="AE146" s="14">
        <v>2022</v>
      </c>
      <c r="AF146" s="14">
        <v>2023</v>
      </c>
      <c r="AG146" s="14">
        <v>2024</v>
      </c>
      <c r="AY146" s="12">
        <v>1</v>
      </c>
      <c r="AZ146" s="18" t="s">
        <v>49</v>
      </c>
      <c r="BA146" s="12">
        <v>1</v>
      </c>
      <c r="BB146" s="12">
        <v>1</v>
      </c>
      <c r="BC146" s="12">
        <v>1</v>
      </c>
      <c r="BD146" s="12">
        <v>0</v>
      </c>
      <c r="BE146" s="12">
        <v>0</v>
      </c>
      <c r="BF146" s="12">
        <v>1</v>
      </c>
      <c r="BG146" s="12">
        <v>1</v>
      </c>
      <c r="BH146" s="12">
        <v>1</v>
      </c>
      <c r="BI146" s="12">
        <v>1</v>
      </c>
      <c r="BJ146" s="12"/>
      <c r="BK146" s="12"/>
      <c r="BL146" s="12"/>
    </row>
    <row r="147" spans="2:64" ht="77.5" x14ac:dyDescent="0.35">
      <c r="B147" s="12">
        <v>9</v>
      </c>
      <c r="C147" s="13" t="s">
        <v>40</v>
      </c>
      <c r="D147" s="25">
        <v>1</v>
      </c>
      <c r="E147" s="25">
        <v>1</v>
      </c>
      <c r="F147" s="25">
        <v>1</v>
      </c>
      <c r="G147" s="25">
        <v>1</v>
      </c>
      <c r="H147" s="25">
        <v>1</v>
      </c>
      <c r="I147" s="25">
        <v>1</v>
      </c>
      <c r="J147" s="25">
        <v>1</v>
      </c>
      <c r="K147" s="25">
        <v>1</v>
      </c>
      <c r="L147" s="25">
        <v>1</v>
      </c>
      <c r="M147" s="25">
        <v>1</v>
      </c>
      <c r="N147" s="25">
        <v>1</v>
      </c>
      <c r="O147" s="25">
        <v>1</v>
      </c>
      <c r="T147" s="12">
        <v>1</v>
      </c>
      <c r="U147" s="18" t="s">
        <v>49</v>
      </c>
      <c r="V147" s="12">
        <v>0</v>
      </c>
      <c r="W147" s="12">
        <v>1</v>
      </c>
      <c r="X147" s="12">
        <v>1</v>
      </c>
      <c r="Y147" s="12"/>
      <c r="Z147" s="12"/>
      <c r="AA147" s="12"/>
      <c r="AB147" s="12"/>
      <c r="AC147" s="12"/>
      <c r="AD147" s="12"/>
      <c r="AE147" s="12"/>
      <c r="AF147" s="12"/>
      <c r="AG147" s="12"/>
      <c r="AY147" s="12">
        <v>2</v>
      </c>
      <c r="AZ147" s="13" t="s">
        <v>34</v>
      </c>
      <c r="BA147" s="25">
        <v>0</v>
      </c>
      <c r="BB147" s="25">
        <v>0</v>
      </c>
      <c r="BC147" s="25">
        <v>0</v>
      </c>
      <c r="BD147" s="25">
        <v>0</v>
      </c>
      <c r="BE147" s="25">
        <v>0</v>
      </c>
      <c r="BF147" s="25">
        <v>0</v>
      </c>
      <c r="BG147" s="25">
        <v>0</v>
      </c>
      <c r="BH147" s="25">
        <v>1</v>
      </c>
      <c r="BI147" s="25">
        <v>1</v>
      </c>
      <c r="BJ147" s="25"/>
      <c r="BK147" s="25"/>
      <c r="BL147" s="25"/>
    </row>
    <row r="148" spans="2:64" ht="46.5" x14ac:dyDescent="0.35">
      <c r="B148" s="12"/>
      <c r="C148" s="23" t="s">
        <v>28</v>
      </c>
      <c r="D148" s="20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2"/>
      <c r="T148" s="12">
        <v>2</v>
      </c>
      <c r="U148" s="13" t="s">
        <v>34</v>
      </c>
      <c r="V148" s="25">
        <v>0</v>
      </c>
      <c r="W148" s="25">
        <v>0</v>
      </c>
      <c r="X148" s="25">
        <v>0</v>
      </c>
      <c r="Y148" s="25"/>
      <c r="Z148" s="25"/>
      <c r="AA148" s="25"/>
      <c r="AB148" s="25"/>
      <c r="AC148" s="25"/>
      <c r="AD148" s="25"/>
      <c r="AE148" s="25"/>
      <c r="AF148" s="25"/>
      <c r="AG148" s="25"/>
      <c r="AY148" s="12"/>
      <c r="AZ148" s="19" t="s">
        <v>27</v>
      </c>
      <c r="BA148" s="20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2"/>
    </row>
    <row r="149" spans="2:64" ht="31" x14ac:dyDescent="0.35">
      <c r="B149" s="12">
        <v>10</v>
      </c>
      <c r="C149" s="13" t="s">
        <v>41</v>
      </c>
      <c r="D149" s="24">
        <v>1</v>
      </c>
      <c r="E149" s="24">
        <v>1</v>
      </c>
      <c r="F149" s="24">
        <v>1</v>
      </c>
      <c r="G149" s="24">
        <v>1</v>
      </c>
      <c r="H149" s="24">
        <v>1</v>
      </c>
      <c r="I149" s="24">
        <v>1</v>
      </c>
      <c r="J149" s="24">
        <v>1</v>
      </c>
      <c r="K149" s="24">
        <v>1</v>
      </c>
      <c r="L149" s="24">
        <v>1</v>
      </c>
      <c r="M149" s="24">
        <v>1</v>
      </c>
      <c r="N149" s="24">
        <v>1</v>
      </c>
      <c r="O149" s="24">
        <v>1</v>
      </c>
      <c r="T149" s="12"/>
      <c r="U149" s="19" t="s">
        <v>27</v>
      </c>
      <c r="V149" s="20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2"/>
      <c r="AY149" s="12">
        <v>3</v>
      </c>
      <c r="AZ149" s="13" t="s">
        <v>48</v>
      </c>
      <c r="BA149" s="24">
        <v>1</v>
      </c>
      <c r="BB149" s="24">
        <v>1</v>
      </c>
      <c r="BC149" s="24">
        <v>1</v>
      </c>
      <c r="BD149" s="24">
        <v>0</v>
      </c>
      <c r="BE149" s="24">
        <v>0</v>
      </c>
      <c r="BF149" s="24">
        <v>0</v>
      </c>
      <c r="BG149" s="24">
        <v>1</v>
      </c>
      <c r="BH149" s="24">
        <v>1</v>
      </c>
      <c r="BI149" s="24">
        <v>1</v>
      </c>
      <c r="BJ149" s="24"/>
      <c r="BK149" s="24"/>
      <c r="BL149" s="24"/>
    </row>
    <row r="150" spans="2:64" ht="62" x14ac:dyDescent="0.35">
      <c r="B150" s="12">
        <v>11</v>
      </c>
      <c r="C150" s="13" t="s">
        <v>50</v>
      </c>
      <c r="D150" s="12">
        <v>1</v>
      </c>
      <c r="E150" s="12">
        <v>1</v>
      </c>
      <c r="F150" s="12">
        <v>1</v>
      </c>
      <c r="G150" s="12">
        <v>1</v>
      </c>
      <c r="H150" s="12">
        <v>1</v>
      </c>
      <c r="I150" s="12">
        <v>1</v>
      </c>
      <c r="J150" s="12">
        <v>0</v>
      </c>
      <c r="K150" s="12">
        <v>0</v>
      </c>
      <c r="L150" s="12">
        <v>0</v>
      </c>
      <c r="M150" s="12">
        <v>1</v>
      </c>
      <c r="N150" s="12">
        <v>1</v>
      </c>
      <c r="O150" s="12">
        <v>1</v>
      </c>
      <c r="T150" s="12">
        <v>3</v>
      </c>
      <c r="U150" s="13" t="s">
        <v>48</v>
      </c>
      <c r="V150" s="24">
        <v>0</v>
      </c>
      <c r="W150" s="24">
        <v>0</v>
      </c>
      <c r="X150" s="24">
        <v>0</v>
      </c>
      <c r="Y150" s="24"/>
      <c r="Z150" s="24"/>
      <c r="AA150" s="24"/>
      <c r="AB150" s="24"/>
      <c r="AC150" s="24"/>
      <c r="AD150" s="24"/>
      <c r="AE150" s="24"/>
      <c r="AF150" s="24"/>
      <c r="AG150" s="24"/>
      <c r="AY150" s="12">
        <v>4</v>
      </c>
      <c r="AZ150" s="13" t="s">
        <v>35</v>
      </c>
      <c r="BA150" s="12">
        <v>1</v>
      </c>
      <c r="BB150" s="12">
        <v>1</v>
      </c>
      <c r="BC150" s="12">
        <v>1</v>
      </c>
      <c r="BD150" s="12">
        <v>0</v>
      </c>
      <c r="BE150" s="12">
        <v>0</v>
      </c>
      <c r="BF150" s="12">
        <v>0</v>
      </c>
      <c r="BG150" s="12">
        <v>0</v>
      </c>
      <c r="BH150" s="12">
        <v>0</v>
      </c>
      <c r="BI150" s="12">
        <v>0</v>
      </c>
      <c r="BJ150" s="12"/>
      <c r="BK150" s="12"/>
      <c r="BL150" s="12"/>
    </row>
    <row r="151" spans="2:64" ht="62" x14ac:dyDescent="0.35">
      <c r="B151" s="12">
        <v>12</v>
      </c>
      <c r="C151" s="13" t="s">
        <v>42</v>
      </c>
      <c r="D151" s="25">
        <v>1</v>
      </c>
      <c r="E151" s="25">
        <v>1</v>
      </c>
      <c r="F151" s="25">
        <v>1</v>
      </c>
      <c r="G151" s="25">
        <v>1</v>
      </c>
      <c r="H151" s="25">
        <v>1</v>
      </c>
      <c r="I151" s="25">
        <v>1</v>
      </c>
      <c r="J151" s="25">
        <v>1</v>
      </c>
      <c r="K151" s="25">
        <v>1</v>
      </c>
      <c r="L151" s="25">
        <v>1</v>
      </c>
      <c r="M151" s="25">
        <v>1</v>
      </c>
      <c r="N151" s="25">
        <v>1</v>
      </c>
      <c r="O151" s="25">
        <v>1</v>
      </c>
      <c r="T151" s="12">
        <v>4</v>
      </c>
      <c r="U151" s="13" t="s">
        <v>35</v>
      </c>
      <c r="V151" s="12">
        <v>0</v>
      </c>
      <c r="W151" s="12">
        <v>0</v>
      </c>
      <c r="X151" s="12">
        <v>0</v>
      </c>
      <c r="Y151" s="12"/>
      <c r="Z151" s="12"/>
      <c r="AA151" s="12"/>
      <c r="AB151" s="12"/>
      <c r="AC151" s="12"/>
      <c r="AD151" s="12"/>
      <c r="AE151" s="12"/>
      <c r="AF151" s="12"/>
      <c r="AG151" s="12"/>
      <c r="AY151" s="12">
        <v>5</v>
      </c>
      <c r="AZ151" s="13" t="s">
        <v>36</v>
      </c>
      <c r="BA151" s="12">
        <v>1</v>
      </c>
      <c r="BB151" s="12">
        <v>1</v>
      </c>
      <c r="BC151" s="12">
        <v>1</v>
      </c>
      <c r="BD151" s="12">
        <v>1</v>
      </c>
      <c r="BE151" s="12">
        <v>1</v>
      </c>
      <c r="BF151" s="12">
        <v>1</v>
      </c>
      <c r="BG151" s="12">
        <v>1</v>
      </c>
      <c r="BH151" s="12">
        <v>1</v>
      </c>
      <c r="BI151" s="12">
        <v>1</v>
      </c>
      <c r="BJ151" s="12"/>
      <c r="BK151" s="12"/>
      <c r="BL151" s="12"/>
    </row>
    <row r="152" spans="2:64" ht="31" x14ac:dyDescent="0.35">
      <c r="B152" s="12"/>
      <c r="C152" s="19" t="s">
        <v>29</v>
      </c>
      <c r="D152" s="20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2"/>
      <c r="T152" s="12">
        <v>5</v>
      </c>
      <c r="U152" s="13" t="s">
        <v>36</v>
      </c>
      <c r="V152" s="12">
        <v>1</v>
      </c>
      <c r="W152" s="12">
        <v>1</v>
      </c>
      <c r="X152" s="12">
        <v>1</v>
      </c>
      <c r="Y152" s="12"/>
      <c r="Z152" s="12"/>
      <c r="AA152" s="12"/>
      <c r="AB152" s="12"/>
      <c r="AC152" s="12"/>
      <c r="AD152" s="12"/>
      <c r="AE152" s="12"/>
      <c r="AF152" s="12"/>
      <c r="AG152" s="12"/>
      <c r="AY152" s="12">
        <v>6</v>
      </c>
      <c r="AZ152" s="13" t="s">
        <v>37</v>
      </c>
      <c r="BA152" s="12">
        <v>1</v>
      </c>
      <c r="BB152" s="12">
        <v>1</v>
      </c>
      <c r="BC152" s="12">
        <v>1</v>
      </c>
      <c r="BD152" s="12">
        <v>1</v>
      </c>
      <c r="BE152" s="12">
        <v>1</v>
      </c>
      <c r="BF152" s="12">
        <v>1</v>
      </c>
      <c r="BG152" s="12">
        <v>1</v>
      </c>
      <c r="BH152" s="12">
        <v>1</v>
      </c>
      <c r="BI152" s="12">
        <v>1</v>
      </c>
      <c r="BJ152" s="12"/>
      <c r="BK152" s="12"/>
      <c r="BL152" s="12"/>
    </row>
    <row r="153" spans="2:64" ht="31" x14ac:dyDescent="0.35">
      <c r="B153" s="12">
        <v>13</v>
      </c>
      <c r="C153" s="13" t="s">
        <v>43</v>
      </c>
      <c r="D153" s="24">
        <v>1</v>
      </c>
      <c r="E153" s="24">
        <v>1</v>
      </c>
      <c r="F153" s="24">
        <v>1</v>
      </c>
      <c r="G153" s="24">
        <v>1</v>
      </c>
      <c r="H153" s="24">
        <v>1</v>
      </c>
      <c r="I153" s="24">
        <v>1</v>
      </c>
      <c r="J153" s="24">
        <v>1</v>
      </c>
      <c r="K153" s="24">
        <v>1</v>
      </c>
      <c r="L153" s="24">
        <v>1</v>
      </c>
      <c r="M153" s="24">
        <v>1</v>
      </c>
      <c r="N153" s="24">
        <v>1</v>
      </c>
      <c r="O153" s="24">
        <v>1</v>
      </c>
      <c r="T153" s="12">
        <v>6</v>
      </c>
      <c r="U153" s="13" t="s">
        <v>37</v>
      </c>
      <c r="V153" s="12">
        <v>1</v>
      </c>
      <c r="W153" s="12">
        <v>1</v>
      </c>
      <c r="X153" s="12">
        <v>1</v>
      </c>
      <c r="Y153" s="12"/>
      <c r="Z153" s="12"/>
      <c r="AA153" s="12"/>
      <c r="AB153" s="12"/>
      <c r="AC153" s="12"/>
      <c r="AD153" s="12"/>
      <c r="AE153" s="12"/>
      <c r="AF153" s="12"/>
      <c r="AG153" s="12"/>
      <c r="AY153" s="12">
        <v>7</v>
      </c>
      <c r="AZ153" s="13" t="s">
        <v>38</v>
      </c>
      <c r="BA153" s="12">
        <v>1</v>
      </c>
      <c r="BB153" s="12">
        <v>1</v>
      </c>
      <c r="BC153" s="12">
        <v>1</v>
      </c>
      <c r="BD153" s="12">
        <v>1</v>
      </c>
      <c r="BE153" s="12">
        <v>1</v>
      </c>
      <c r="BF153" s="12">
        <v>1</v>
      </c>
      <c r="BG153" s="12">
        <v>1</v>
      </c>
      <c r="BH153" s="12">
        <v>1</v>
      </c>
      <c r="BI153" s="12">
        <v>1</v>
      </c>
      <c r="BJ153" s="12"/>
      <c r="BK153" s="12"/>
      <c r="BL153" s="12"/>
    </row>
    <row r="154" spans="2:64" ht="46.5" x14ac:dyDescent="0.35">
      <c r="B154" s="12">
        <v>14</v>
      </c>
      <c r="C154" s="13" t="s">
        <v>44</v>
      </c>
      <c r="D154" s="12">
        <v>1</v>
      </c>
      <c r="E154" s="12">
        <v>1</v>
      </c>
      <c r="F154" s="12">
        <v>1</v>
      </c>
      <c r="G154" s="12">
        <v>1</v>
      </c>
      <c r="H154" s="12">
        <v>1</v>
      </c>
      <c r="I154" s="12">
        <v>1</v>
      </c>
      <c r="J154" s="12">
        <v>0</v>
      </c>
      <c r="K154" s="12">
        <v>0</v>
      </c>
      <c r="L154" s="12">
        <v>0</v>
      </c>
      <c r="M154" s="12">
        <v>0</v>
      </c>
      <c r="N154" s="12">
        <v>1</v>
      </c>
      <c r="O154" s="12">
        <v>1</v>
      </c>
      <c r="T154" s="12">
        <v>7</v>
      </c>
      <c r="U154" s="13" t="s">
        <v>38</v>
      </c>
      <c r="V154" s="12">
        <v>1</v>
      </c>
      <c r="W154" s="12">
        <v>1</v>
      </c>
      <c r="X154" s="12">
        <v>1</v>
      </c>
      <c r="Y154" s="12"/>
      <c r="Z154" s="12"/>
      <c r="AA154" s="12"/>
      <c r="AB154" s="12"/>
      <c r="AC154" s="12"/>
      <c r="AD154" s="12"/>
      <c r="AE154" s="12"/>
      <c r="AF154" s="12"/>
      <c r="AG154" s="12"/>
      <c r="AY154" s="12">
        <v>8</v>
      </c>
      <c r="AZ154" s="13" t="s">
        <v>39</v>
      </c>
      <c r="BA154" s="12">
        <v>1</v>
      </c>
      <c r="BB154" s="12">
        <v>1</v>
      </c>
      <c r="BC154" s="12">
        <v>1</v>
      </c>
      <c r="BD154" s="12">
        <v>1</v>
      </c>
      <c r="BE154" s="12">
        <v>1</v>
      </c>
      <c r="BF154" s="12">
        <v>1</v>
      </c>
      <c r="BG154" s="12">
        <v>1</v>
      </c>
      <c r="BH154" s="12">
        <v>1</v>
      </c>
      <c r="BI154" s="12">
        <v>1</v>
      </c>
      <c r="BJ154" s="12"/>
      <c r="BK154" s="12"/>
      <c r="BL154" s="12"/>
    </row>
    <row r="155" spans="2:64" ht="46.5" x14ac:dyDescent="0.35">
      <c r="B155" s="12">
        <v>15</v>
      </c>
      <c r="C155" s="13" t="s">
        <v>46</v>
      </c>
      <c r="D155" s="12">
        <v>1</v>
      </c>
      <c r="E155" s="12">
        <v>1</v>
      </c>
      <c r="F155" s="12">
        <v>1</v>
      </c>
      <c r="G155" s="12">
        <v>1</v>
      </c>
      <c r="H155" s="12">
        <v>1</v>
      </c>
      <c r="I155" s="12">
        <v>1</v>
      </c>
      <c r="J155" s="12">
        <v>0</v>
      </c>
      <c r="K155" s="12">
        <v>0</v>
      </c>
      <c r="L155" s="12">
        <v>0</v>
      </c>
      <c r="M155" s="12">
        <v>0</v>
      </c>
      <c r="N155" s="12">
        <v>1</v>
      </c>
      <c r="O155" s="12">
        <v>1</v>
      </c>
      <c r="T155" s="12">
        <v>8</v>
      </c>
      <c r="U155" s="13" t="s">
        <v>39</v>
      </c>
      <c r="V155" s="12">
        <v>1</v>
      </c>
      <c r="W155" s="12">
        <v>1</v>
      </c>
      <c r="X155" s="12">
        <v>1</v>
      </c>
      <c r="Y155" s="12"/>
      <c r="Z155" s="12"/>
      <c r="AA155" s="12"/>
      <c r="AB155" s="12"/>
      <c r="AC155" s="12"/>
      <c r="AD155" s="12"/>
      <c r="AE155" s="12"/>
      <c r="AF155" s="12"/>
      <c r="AG155" s="12"/>
      <c r="AY155" s="12">
        <v>9</v>
      </c>
      <c r="AZ155" s="13" t="s">
        <v>40</v>
      </c>
      <c r="BA155" s="25">
        <v>1</v>
      </c>
      <c r="BB155" s="25">
        <v>1</v>
      </c>
      <c r="BC155" s="25">
        <v>1</v>
      </c>
      <c r="BD155" s="25">
        <v>1</v>
      </c>
      <c r="BE155" s="25">
        <v>1</v>
      </c>
      <c r="BF155" s="25">
        <v>1</v>
      </c>
      <c r="BG155" s="25">
        <v>1</v>
      </c>
      <c r="BH155" s="25">
        <v>1</v>
      </c>
      <c r="BI155" s="25">
        <v>1</v>
      </c>
      <c r="BJ155" s="25"/>
      <c r="BK155" s="25"/>
      <c r="BL155" s="25"/>
    </row>
    <row r="156" spans="2:64" ht="46.5" x14ac:dyDescent="0.35">
      <c r="B156" s="12">
        <v>16</v>
      </c>
      <c r="C156" s="13" t="s">
        <v>45</v>
      </c>
      <c r="D156" s="25">
        <v>0</v>
      </c>
      <c r="E156" s="25">
        <v>0</v>
      </c>
      <c r="F156" s="25">
        <v>0</v>
      </c>
      <c r="G156" s="25">
        <v>0</v>
      </c>
      <c r="H156" s="25">
        <v>0</v>
      </c>
      <c r="I156" s="25">
        <v>0</v>
      </c>
      <c r="J156" s="25">
        <v>0</v>
      </c>
      <c r="K156" s="25">
        <v>0</v>
      </c>
      <c r="L156" s="25">
        <v>0</v>
      </c>
      <c r="M156" s="25">
        <v>0</v>
      </c>
      <c r="N156" s="25">
        <v>0</v>
      </c>
      <c r="O156" s="25">
        <v>0</v>
      </c>
      <c r="T156" s="12">
        <v>9</v>
      </c>
      <c r="U156" s="13" t="s">
        <v>40</v>
      </c>
      <c r="V156" s="25">
        <v>1</v>
      </c>
      <c r="W156" s="25">
        <v>1</v>
      </c>
      <c r="X156" s="25">
        <v>1</v>
      </c>
      <c r="Y156" s="25"/>
      <c r="Z156" s="25"/>
      <c r="AA156" s="25"/>
      <c r="AB156" s="25"/>
      <c r="AC156" s="25"/>
      <c r="AD156" s="25"/>
      <c r="AE156" s="25"/>
      <c r="AF156" s="25"/>
      <c r="AG156" s="25"/>
      <c r="AY156" s="12"/>
      <c r="AZ156" s="23" t="s">
        <v>28</v>
      </c>
      <c r="BA156" s="20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2"/>
    </row>
    <row r="157" spans="2:64" ht="31" x14ac:dyDescent="0.35">
      <c r="B157" s="12"/>
      <c r="C157" s="23" t="s">
        <v>30</v>
      </c>
      <c r="D157" s="20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2"/>
      <c r="T157" s="12"/>
      <c r="U157" s="23" t="s">
        <v>28</v>
      </c>
      <c r="V157" s="20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2"/>
      <c r="AY157" s="12">
        <v>10</v>
      </c>
      <c r="AZ157" s="13" t="s">
        <v>41</v>
      </c>
      <c r="BA157" s="24">
        <v>1</v>
      </c>
      <c r="BB157" s="24">
        <v>1</v>
      </c>
      <c r="BC157" s="24">
        <v>1</v>
      </c>
      <c r="BD157" s="24">
        <v>1</v>
      </c>
      <c r="BE157" s="24">
        <v>1</v>
      </c>
      <c r="BF157" s="24">
        <v>1</v>
      </c>
      <c r="BG157" s="24">
        <v>1</v>
      </c>
      <c r="BH157" s="24">
        <v>1</v>
      </c>
      <c r="BI157" s="24">
        <v>1</v>
      </c>
      <c r="BJ157" s="24"/>
      <c r="BK157" s="24"/>
      <c r="BL157" s="24"/>
    </row>
    <row r="158" spans="2:64" ht="46.5" x14ac:dyDescent="0.35">
      <c r="B158" s="12">
        <v>17</v>
      </c>
      <c r="C158" s="13" t="s">
        <v>47</v>
      </c>
      <c r="D158" s="24">
        <v>0</v>
      </c>
      <c r="E158" s="24">
        <v>0</v>
      </c>
      <c r="F158" s="24">
        <v>0</v>
      </c>
      <c r="G158" s="24">
        <v>0</v>
      </c>
      <c r="H158" s="24">
        <v>0</v>
      </c>
      <c r="I158" s="24">
        <v>0</v>
      </c>
      <c r="J158" s="24">
        <v>0</v>
      </c>
      <c r="K158" s="24">
        <v>0</v>
      </c>
      <c r="L158" s="24">
        <v>0</v>
      </c>
      <c r="M158" s="24">
        <v>0</v>
      </c>
      <c r="N158" s="24">
        <v>0</v>
      </c>
      <c r="O158" s="24">
        <v>0</v>
      </c>
      <c r="T158" s="12">
        <v>10</v>
      </c>
      <c r="U158" s="13" t="s">
        <v>41</v>
      </c>
      <c r="V158" s="24">
        <v>1</v>
      </c>
      <c r="W158" s="24">
        <v>1</v>
      </c>
      <c r="X158" s="24">
        <v>1</v>
      </c>
      <c r="Y158" s="24"/>
      <c r="Z158" s="24"/>
      <c r="AA158" s="24"/>
      <c r="AB158" s="24"/>
      <c r="AC158" s="24"/>
      <c r="AD158" s="24"/>
      <c r="AE158" s="24"/>
      <c r="AF158" s="24"/>
      <c r="AG158" s="24"/>
      <c r="AY158" s="12">
        <v>11</v>
      </c>
      <c r="AZ158" s="13" t="s">
        <v>50</v>
      </c>
      <c r="BA158" s="12">
        <v>1</v>
      </c>
      <c r="BB158" s="12">
        <v>1</v>
      </c>
      <c r="BC158" s="12">
        <v>1</v>
      </c>
      <c r="BD158" s="12">
        <v>0</v>
      </c>
      <c r="BE158" s="12">
        <v>0</v>
      </c>
      <c r="BF158" s="12">
        <v>0</v>
      </c>
      <c r="BG158" s="12">
        <v>1</v>
      </c>
      <c r="BH158" s="12">
        <v>1</v>
      </c>
      <c r="BI158" s="12">
        <v>1</v>
      </c>
      <c r="BJ158" s="12"/>
      <c r="BK158" s="12"/>
      <c r="BL158" s="12"/>
    </row>
    <row r="159" spans="2:64" ht="62" x14ac:dyDescent="0.35">
      <c r="B159" s="12">
        <v>18</v>
      </c>
      <c r="C159" s="13" t="s">
        <v>33</v>
      </c>
      <c r="D159" s="25">
        <v>0</v>
      </c>
      <c r="E159" s="25">
        <v>0</v>
      </c>
      <c r="F159" s="25">
        <v>0</v>
      </c>
      <c r="G159" s="25">
        <v>0</v>
      </c>
      <c r="H159" s="25">
        <v>0</v>
      </c>
      <c r="I159" s="25">
        <v>0</v>
      </c>
      <c r="J159" s="25">
        <v>0</v>
      </c>
      <c r="K159" s="25">
        <v>0</v>
      </c>
      <c r="L159" s="25">
        <v>0</v>
      </c>
      <c r="M159" s="25">
        <v>0</v>
      </c>
      <c r="N159" s="25">
        <v>0</v>
      </c>
      <c r="O159" s="25">
        <v>0</v>
      </c>
      <c r="T159" s="12">
        <v>11</v>
      </c>
      <c r="U159" s="13" t="s">
        <v>50</v>
      </c>
      <c r="V159" s="12">
        <v>1</v>
      </c>
      <c r="W159" s="12">
        <v>1</v>
      </c>
      <c r="X159" s="12">
        <v>1</v>
      </c>
      <c r="Y159" s="12"/>
      <c r="Z159" s="12"/>
      <c r="AA159" s="12"/>
      <c r="AB159" s="12"/>
      <c r="AC159" s="12"/>
      <c r="AD159" s="12"/>
      <c r="AE159" s="12"/>
      <c r="AF159" s="12"/>
      <c r="AG159" s="12"/>
      <c r="AY159" s="12">
        <v>12</v>
      </c>
      <c r="AZ159" s="13" t="s">
        <v>42</v>
      </c>
      <c r="BA159" s="25">
        <v>1</v>
      </c>
      <c r="BB159" s="25">
        <v>1</v>
      </c>
      <c r="BC159" s="25">
        <v>1</v>
      </c>
      <c r="BD159" s="25">
        <v>1</v>
      </c>
      <c r="BE159" s="25">
        <v>1</v>
      </c>
      <c r="BF159" s="25">
        <v>1</v>
      </c>
      <c r="BG159" s="25">
        <v>1</v>
      </c>
      <c r="BH159" s="25">
        <v>1</v>
      </c>
      <c r="BI159" s="25">
        <v>1</v>
      </c>
      <c r="BJ159" s="25"/>
      <c r="BK159" s="25"/>
      <c r="BL159" s="25"/>
    </row>
    <row r="160" spans="2:64" ht="31" x14ac:dyDescent="0.35">
      <c r="B160" s="15"/>
      <c r="C160" s="23" t="s">
        <v>31</v>
      </c>
      <c r="D160" s="17">
        <f>D138+D139+D141+D142+D143+D144+D145+D146+D147+D149+D150+D151+D153+D154+D155+D156+D158+D159</f>
        <v>12</v>
      </c>
      <c r="E160" s="17">
        <f t="shared" ref="E160:F160" si="214">E138+E139+E141+E142+E143+E144+E145+E146+E147+E149+E150+E151+E153+E154+E155+E156+E158+E159</f>
        <v>12</v>
      </c>
      <c r="F160" s="17">
        <f t="shared" si="214"/>
        <v>14</v>
      </c>
      <c r="G160" s="17">
        <f t="shared" ref="G160" si="215">G138+G139+G141+G142+G143+G144+G145+G146+G147+G149+G150+G151+G153+G154+G155+G156+G158+G159</f>
        <v>11</v>
      </c>
      <c r="H160" s="17">
        <f t="shared" ref="H160" si="216">H138+H139+H141+H142+H143+H144+H145+H146+H147+H149+H150+H151+H153+H154+H155+H156+H158+H159</f>
        <v>11</v>
      </c>
      <c r="I160" s="17">
        <f t="shared" ref="I160:K160" si="217">I138+I139+I141+I142+I143+I144+I145+I146+I147+I149+I150+I151+I153+I154+I155+I156+I158+I159</f>
        <v>13</v>
      </c>
      <c r="J160" s="17">
        <f t="shared" si="217"/>
        <v>11</v>
      </c>
      <c r="K160" s="17">
        <f t="shared" si="217"/>
        <v>11</v>
      </c>
      <c r="L160" s="17">
        <f t="shared" ref="L160:M160" si="218">L138+L139+L141+L142+L143+L144+L145+L146+L147+L149+L150+L151+L153+L154+L155+L156+L158+L159</f>
        <v>11</v>
      </c>
      <c r="M160" s="17">
        <f t="shared" si="218"/>
        <v>11</v>
      </c>
      <c r="N160" s="17">
        <f t="shared" ref="N160:O160" si="219">N138+N139+N141+N142+N143+N144+N145+N146+N147+N149+N150+N151+N153+N154+N155+N156+N158+N159</f>
        <v>14</v>
      </c>
      <c r="O160" s="17">
        <f t="shared" si="219"/>
        <v>15</v>
      </c>
      <c r="T160" s="12">
        <v>12</v>
      </c>
      <c r="U160" s="13" t="s">
        <v>42</v>
      </c>
      <c r="V160" s="25">
        <v>1</v>
      </c>
      <c r="W160" s="25">
        <v>1</v>
      </c>
      <c r="X160" s="25">
        <v>1</v>
      </c>
      <c r="Y160" s="25"/>
      <c r="Z160" s="25"/>
      <c r="AA160" s="25"/>
      <c r="AB160" s="25"/>
      <c r="AC160" s="25"/>
      <c r="AD160" s="25"/>
      <c r="AE160" s="25"/>
      <c r="AF160" s="25"/>
      <c r="AG160" s="25"/>
      <c r="AY160" s="12"/>
      <c r="AZ160" s="19" t="s">
        <v>29</v>
      </c>
      <c r="BA160" s="20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2"/>
    </row>
    <row r="161" spans="2:64" ht="60" x14ac:dyDescent="0.35">
      <c r="B161" s="16" t="s">
        <v>32</v>
      </c>
      <c r="C161" s="17"/>
      <c r="D161" s="24">
        <f>D160/18</f>
        <v>0.66666666666666663</v>
      </c>
      <c r="E161" s="24">
        <f t="shared" ref="E161:F161" si="220">E160/18</f>
        <v>0.66666666666666663</v>
      </c>
      <c r="F161" s="24">
        <f t="shared" si="220"/>
        <v>0.77777777777777779</v>
      </c>
      <c r="G161" s="24">
        <f t="shared" ref="G161" si="221">G160/18</f>
        <v>0.61111111111111116</v>
      </c>
      <c r="H161" s="24">
        <f t="shared" ref="H161" si="222">H160/18</f>
        <v>0.61111111111111116</v>
      </c>
      <c r="I161" s="24">
        <f t="shared" ref="I161:K161" si="223">I160/18</f>
        <v>0.72222222222222221</v>
      </c>
      <c r="J161" s="24">
        <f t="shared" si="223"/>
        <v>0.61111111111111116</v>
      </c>
      <c r="K161" s="24">
        <f t="shared" si="223"/>
        <v>0.61111111111111116</v>
      </c>
      <c r="L161" s="24">
        <f t="shared" ref="L161:M161" si="224">L160/18</f>
        <v>0.61111111111111116</v>
      </c>
      <c r="M161" s="24">
        <f t="shared" si="224"/>
        <v>0.61111111111111116</v>
      </c>
      <c r="N161" s="24">
        <f t="shared" ref="N161:O161" si="225">N160/18</f>
        <v>0.77777777777777779</v>
      </c>
      <c r="O161" s="24">
        <f t="shared" si="225"/>
        <v>0.83333333333333337</v>
      </c>
      <c r="T161" s="12"/>
      <c r="U161" s="19" t="s">
        <v>29</v>
      </c>
      <c r="V161" s="20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2"/>
      <c r="AY161" s="12">
        <v>13</v>
      </c>
      <c r="AZ161" s="13" t="s">
        <v>43</v>
      </c>
      <c r="BA161" s="24">
        <v>1</v>
      </c>
      <c r="BB161" s="24">
        <v>1</v>
      </c>
      <c r="BC161" s="24">
        <v>1</v>
      </c>
      <c r="BD161" s="24">
        <v>1</v>
      </c>
      <c r="BE161" s="24">
        <v>1</v>
      </c>
      <c r="BF161" s="24">
        <v>1</v>
      </c>
      <c r="BG161" s="24">
        <v>1</v>
      </c>
      <c r="BH161" s="24">
        <v>1</v>
      </c>
      <c r="BI161" s="24">
        <v>1</v>
      </c>
      <c r="BJ161" s="24"/>
      <c r="BK161" s="24"/>
      <c r="BL161" s="24"/>
    </row>
    <row r="162" spans="2:64" ht="31" x14ac:dyDescent="0.35">
      <c r="T162" s="12">
        <v>13</v>
      </c>
      <c r="U162" s="13" t="s">
        <v>43</v>
      </c>
      <c r="V162" s="24">
        <v>1</v>
      </c>
      <c r="W162" s="24">
        <v>1</v>
      </c>
      <c r="X162" s="24">
        <v>1</v>
      </c>
      <c r="Y162" s="24"/>
      <c r="Z162" s="24"/>
      <c r="AA162" s="24"/>
      <c r="AB162" s="24"/>
      <c r="AC162" s="24"/>
      <c r="AD162" s="24"/>
      <c r="AE162" s="24"/>
      <c r="AF162" s="24"/>
      <c r="AG162" s="24"/>
      <c r="AY162" s="12">
        <v>14</v>
      </c>
      <c r="AZ162" s="13" t="s">
        <v>44</v>
      </c>
      <c r="BA162" s="12">
        <v>1</v>
      </c>
      <c r="BB162" s="12">
        <v>1</v>
      </c>
      <c r="BC162" s="12">
        <v>1</v>
      </c>
      <c r="BD162" s="12">
        <v>1</v>
      </c>
      <c r="BE162" s="12">
        <v>1</v>
      </c>
      <c r="BF162" s="12">
        <v>1</v>
      </c>
      <c r="BG162" s="12">
        <v>1</v>
      </c>
      <c r="BH162" s="12">
        <v>1</v>
      </c>
      <c r="BI162" s="12">
        <v>1</v>
      </c>
      <c r="BJ162" s="12"/>
      <c r="BK162" s="12"/>
      <c r="BL162" s="12"/>
    </row>
    <row r="163" spans="2:64" ht="46.5" x14ac:dyDescent="0.35">
      <c r="B163" s="62" t="s">
        <v>0</v>
      </c>
      <c r="C163" s="10" t="s">
        <v>25</v>
      </c>
      <c r="D163" s="57" t="s">
        <v>68</v>
      </c>
      <c r="E163" s="58"/>
      <c r="F163" s="59"/>
      <c r="G163" s="57"/>
      <c r="H163" s="58"/>
      <c r="I163" s="59"/>
      <c r="J163" s="57"/>
      <c r="K163" s="58"/>
      <c r="L163" s="59"/>
      <c r="M163" s="57"/>
      <c r="N163" s="58"/>
      <c r="O163" s="59"/>
      <c r="T163" s="12">
        <v>14</v>
      </c>
      <c r="U163" s="13" t="s">
        <v>44</v>
      </c>
      <c r="V163" s="12">
        <v>1</v>
      </c>
      <c r="W163" s="12">
        <v>1</v>
      </c>
      <c r="X163" s="12">
        <v>1</v>
      </c>
      <c r="Y163" s="12"/>
      <c r="Z163" s="12"/>
      <c r="AA163" s="12"/>
      <c r="AB163" s="12"/>
      <c r="AC163" s="12"/>
      <c r="AD163" s="12"/>
      <c r="AE163" s="12"/>
      <c r="AF163" s="12"/>
      <c r="AG163" s="12"/>
      <c r="AY163" s="12">
        <v>15</v>
      </c>
      <c r="AZ163" s="13" t="s">
        <v>46</v>
      </c>
      <c r="BA163" s="12">
        <v>1</v>
      </c>
      <c r="BB163" s="12">
        <v>1</v>
      </c>
      <c r="BC163" s="12">
        <v>1</v>
      </c>
      <c r="BD163" s="12">
        <v>1</v>
      </c>
      <c r="BE163" s="12">
        <v>1</v>
      </c>
      <c r="BF163" s="12">
        <v>1</v>
      </c>
      <c r="BG163" s="12">
        <v>1</v>
      </c>
      <c r="BH163" s="12">
        <v>1</v>
      </c>
      <c r="BI163" s="12">
        <v>1</v>
      </c>
      <c r="BJ163" s="12"/>
      <c r="BK163" s="12"/>
      <c r="BL163" s="12"/>
    </row>
    <row r="164" spans="2:64" ht="62" x14ac:dyDescent="0.35">
      <c r="B164" s="63"/>
      <c r="C164" s="11" t="s">
        <v>26</v>
      </c>
      <c r="D164" s="14">
        <v>2022</v>
      </c>
      <c r="E164" s="14">
        <v>2023</v>
      </c>
      <c r="F164" s="14">
        <v>2024</v>
      </c>
      <c r="G164" s="14">
        <v>2022</v>
      </c>
      <c r="H164" s="14">
        <v>2023</v>
      </c>
      <c r="I164" s="14">
        <v>2024</v>
      </c>
      <c r="J164" s="14">
        <v>2022</v>
      </c>
      <c r="K164" s="14">
        <v>2023</v>
      </c>
      <c r="L164" s="14">
        <v>2024</v>
      </c>
      <c r="M164" s="14">
        <v>2022</v>
      </c>
      <c r="N164" s="14">
        <v>2023</v>
      </c>
      <c r="O164" s="14">
        <v>2024</v>
      </c>
      <c r="T164" s="12">
        <v>15</v>
      </c>
      <c r="U164" s="13" t="s">
        <v>46</v>
      </c>
      <c r="V164" s="12">
        <v>1</v>
      </c>
      <c r="W164" s="12">
        <v>1</v>
      </c>
      <c r="X164" s="12">
        <v>1</v>
      </c>
      <c r="Y164" s="12"/>
      <c r="Z164" s="12"/>
      <c r="AA164" s="12"/>
      <c r="AB164" s="12"/>
      <c r="AC164" s="12"/>
      <c r="AD164" s="12"/>
      <c r="AE164" s="12"/>
      <c r="AF164" s="12"/>
      <c r="AG164" s="12"/>
      <c r="AY164" s="12">
        <v>16</v>
      </c>
      <c r="AZ164" s="13" t="s">
        <v>45</v>
      </c>
      <c r="BA164" s="25">
        <v>0</v>
      </c>
      <c r="BB164" s="25">
        <v>0</v>
      </c>
      <c r="BC164" s="25">
        <v>0</v>
      </c>
      <c r="BD164" s="25">
        <v>0</v>
      </c>
      <c r="BE164" s="25">
        <v>0</v>
      </c>
      <c r="BF164" s="25">
        <v>0</v>
      </c>
      <c r="BG164" s="25">
        <v>0</v>
      </c>
      <c r="BH164" s="25">
        <v>0</v>
      </c>
      <c r="BI164" s="25">
        <v>0</v>
      </c>
      <c r="BJ164" s="25"/>
      <c r="BK164" s="25"/>
      <c r="BL164" s="25"/>
    </row>
    <row r="165" spans="2:64" ht="50.5" customHeight="1" x14ac:dyDescent="0.35">
      <c r="B165" s="12">
        <v>1</v>
      </c>
      <c r="C165" s="18" t="s">
        <v>49</v>
      </c>
      <c r="D165" s="12">
        <v>0</v>
      </c>
      <c r="E165" s="12">
        <v>0</v>
      </c>
      <c r="F165" s="12">
        <v>0</v>
      </c>
      <c r="G165" s="12"/>
      <c r="H165" s="12"/>
      <c r="I165" s="12"/>
      <c r="J165" s="12"/>
      <c r="K165" s="12"/>
      <c r="L165" s="12"/>
      <c r="M165" s="12"/>
      <c r="N165" s="12"/>
      <c r="O165" s="12"/>
      <c r="T165" s="12">
        <v>16</v>
      </c>
      <c r="U165" s="13" t="s">
        <v>45</v>
      </c>
      <c r="V165" s="25">
        <v>0</v>
      </c>
      <c r="W165" s="25">
        <v>0</v>
      </c>
      <c r="X165" s="25">
        <v>0</v>
      </c>
      <c r="Y165" s="25"/>
      <c r="Z165" s="25"/>
      <c r="AA165" s="25"/>
      <c r="AB165" s="25"/>
      <c r="AC165" s="25"/>
      <c r="AD165" s="25"/>
      <c r="AE165" s="25"/>
      <c r="AF165" s="25"/>
      <c r="AG165" s="25"/>
      <c r="AY165" s="12"/>
      <c r="AZ165" s="23" t="s">
        <v>30</v>
      </c>
      <c r="BA165" s="20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2"/>
    </row>
    <row r="166" spans="2:64" ht="46.5" x14ac:dyDescent="0.35">
      <c r="B166" s="12">
        <v>2</v>
      </c>
      <c r="C166" s="13" t="s">
        <v>34</v>
      </c>
      <c r="D166" s="25">
        <v>0</v>
      </c>
      <c r="E166" s="25">
        <v>0</v>
      </c>
      <c r="F166" s="25">
        <v>0</v>
      </c>
      <c r="G166" s="25"/>
      <c r="H166" s="25"/>
      <c r="I166" s="25"/>
      <c r="J166" s="25"/>
      <c r="K166" s="25"/>
      <c r="L166" s="25"/>
      <c r="M166" s="25"/>
      <c r="N166" s="25"/>
      <c r="O166" s="25"/>
      <c r="T166" s="12"/>
      <c r="U166" s="23" t="s">
        <v>30</v>
      </c>
      <c r="V166" s="20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2"/>
      <c r="AY166" s="12">
        <v>17</v>
      </c>
      <c r="AZ166" s="13" t="s">
        <v>47</v>
      </c>
      <c r="BA166" s="24">
        <v>0</v>
      </c>
      <c r="BB166" s="24">
        <v>0</v>
      </c>
      <c r="BC166" s="24">
        <v>0</v>
      </c>
      <c r="BD166" s="24">
        <v>0</v>
      </c>
      <c r="BE166" s="24">
        <v>0</v>
      </c>
      <c r="BF166" s="24">
        <v>0</v>
      </c>
      <c r="BG166" s="24">
        <v>0</v>
      </c>
      <c r="BH166" s="24">
        <v>0</v>
      </c>
      <c r="BI166" s="24"/>
      <c r="BJ166" s="24"/>
      <c r="BK166" s="24"/>
      <c r="BL166" s="24"/>
    </row>
    <row r="167" spans="2:64" ht="62" x14ac:dyDescent="0.35">
      <c r="B167" s="12"/>
      <c r="C167" s="19" t="s">
        <v>27</v>
      </c>
      <c r="D167" s="20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2"/>
      <c r="T167" s="12">
        <v>17</v>
      </c>
      <c r="U167" s="13" t="s">
        <v>47</v>
      </c>
      <c r="V167" s="24">
        <v>0</v>
      </c>
      <c r="W167" s="24">
        <v>0</v>
      </c>
      <c r="X167" s="24">
        <v>0</v>
      </c>
      <c r="Y167" s="24"/>
      <c r="Z167" s="24"/>
      <c r="AA167" s="24"/>
      <c r="AB167" s="24"/>
      <c r="AC167" s="24"/>
      <c r="AD167" s="24"/>
      <c r="AE167" s="24"/>
      <c r="AF167" s="24"/>
      <c r="AG167" s="24"/>
      <c r="AY167" s="12">
        <v>18</v>
      </c>
      <c r="AZ167" s="13" t="s">
        <v>33</v>
      </c>
      <c r="BA167" s="25">
        <v>0</v>
      </c>
      <c r="BB167" s="25">
        <v>0</v>
      </c>
      <c r="BC167" s="25">
        <v>0</v>
      </c>
      <c r="BD167" s="25">
        <v>0</v>
      </c>
      <c r="BE167" s="25">
        <v>0</v>
      </c>
      <c r="BF167" s="25">
        <v>0</v>
      </c>
      <c r="BG167" s="25">
        <v>0</v>
      </c>
      <c r="BH167" s="25">
        <v>0</v>
      </c>
      <c r="BI167" s="25"/>
      <c r="BJ167" s="25"/>
      <c r="BK167" s="25"/>
      <c r="BL167" s="25"/>
    </row>
    <row r="168" spans="2:64" ht="77.5" x14ac:dyDescent="0.35">
      <c r="B168" s="12">
        <v>3</v>
      </c>
      <c r="C168" s="13" t="s">
        <v>48</v>
      </c>
      <c r="D168" s="24">
        <v>0</v>
      </c>
      <c r="E168" s="24">
        <v>0</v>
      </c>
      <c r="F168" s="24">
        <v>0</v>
      </c>
      <c r="G168" s="24"/>
      <c r="H168" s="24"/>
      <c r="I168" s="24"/>
      <c r="J168" s="24"/>
      <c r="K168" s="24"/>
      <c r="L168" s="24"/>
      <c r="M168" s="24"/>
      <c r="N168" s="24"/>
      <c r="O168" s="24"/>
      <c r="T168" s="12">
        <v>18</v>
      </c>
      <c r="U168" s="13" t="s">
        <v>33</v>
      </c>
      <c r="V168" s="25">
        <v>0</v>
      </c>
      <c r="W168" s="25">
        <v>0</v>
      </c>
      <c r="X168" s="25">
        <v>0</v>
      </c>
      <c r="Y168" s="25"/>
      <c r="Z168" s="25"/>
      <c r="AA168" s="25"/>
      <c r="AB168" s="25"/>
      <c r="AC168" s="25"/>
      <c r="AD168" s="25"/>
      <c r="AE168" s="25"/>
      <c r="AF168" s="25"/>
      <c r="AG168" s="25"/>
      <c r="AY168" s="15"/>
      <c r="AZ168" s="37" t="s">
        <v>31</v>
      </c>
      <c r="BA168" s="17">
        <f t="shared" ref="BA168" si="226">BA146+BA147+BA149+BA150+BA151+BA152+BA153+BA154+BA155+BA157+BA158+BA159+BA161+BA162+BA163+BA164+BA166+BA167</f>
        <v>14</v>
      </c>
      <c r="BB168" s="17">
        <f t="shared" ref="BB168" si="227">BB146+BB147+BB149+BB150+BB151+BB152+BB153+BB154+BB155+BB157+BB158+BB159+BB161+BB162+BB163+BB164+BB166+BB167</f>
        <v>14</v>
      </c>
      <c r="BC168" s="17">
        <f t="shared" ref="BC168" si="228">BC146+BC147+BC149+BC150+BC151+BC152+BC153+BC154+BC155+BC157+BC158+BC159+BC161+BC162+BC163+BC164+BC166+BC167</f>
        <v>14</v>
      </c>
      <c r="BD168" s="17">
        <f>BD146+BD147+BD149+BD150+BD151+BD152+BD153+BD154+BD155+BD157+BD158+BD159+BD161+BD162+BD163+BD164+BD166+BD167</f>
        <v>10</v>
      </c>
      <c r="BE168" s="17">
        <f>BE146+BE147+BE149+BE150+BE151+BE152+BE153+BE154+BE155+BE157+BE158+BE159+BE161+BE162+BE163+BE164+BE166+BE167</f>
        <v>10</v>
      </c>
      <c r="BF168" s="17">
        <f t="shared" ref="BF168" si="229">BF146+BF147+BF149+BF150+BF151+BF152+BF153+BF154+BF155+BF157+BF158+BF159+BF161+BF162+BF163+BF164+BF166+BF167</f>
        <v>11</v>
      </c>
      <c r="BG168" s="17">
        <f t="shared" ref="BG168" si="230">BG146+BG147+BG149+BG150+BG151+BG152+BG153+BG154+BG155+BG157+BG158+BG159+BG161+BG162+BG163+BG164+BG166+BG167</f>
        <v>13</v>
      </c>
      <c r="BH168" s="17">
        <f t="shared" ref="BH168" si="231">BH146+BH147+BH149+BH150+BH151+BH152+BH153+BH154+BH155+BH157+BH158+BH159+BH161+BH162+BH163+BH164+BH166+BH167</f>
        <v>14</v>
      </c>
      <c r="BI168" s="17">
        <f t="shared" ref="BI168" si="232">BI146+BI147+BI149+BI150+BI151+BI152+BI153+BI154+BI155+BI157+BI158+BI159+BI161+BI162+BI163+BI164+BI166+BI167</f>
        <v>14</v>
      </c>
      <c r="BJ168" s="17">
        <f t="shared" ref="BJ168" si="233">BJ146+BJ147+BJ149+BJ150+BJ151+BJ152+BJ153+BJ154+BJ155+BJ157+BJ158+BJ159+BJ161+BJ162+BJ163+BJ164+BJ166+BJ167</f>
        <v>0</v>
      </c>
      <c r="BK168" s="17">
        <f t="shared" ref="BK168" si="234">BK146+BK147+BK149+BK150+BK151+BK152+BK153+BK154+BK155+BK157+BK158+BK159+BK161+BK162+BK163+BK164+BK166+BK167</f>
        <v>0</v>
      </c>
      <c r="BL168" s="17">
        <f t="shared" ref="BL168" si="235">BL146+BL147+BL149+BL150+BL151+BL152+BL153+BL154+BL155+BL157+BL158+BL159+BL161+BL162+BL163+BL164+BL166+BL167</f>
        <v>0</v>
      </c>
    </row>
    <row r="169" spans="2:64" ht="75" x14ac:dyDescent="0.35">
      <c r="B169" s="12">
        <v>4</v>
      </c>
      <c r="C169" s="13" t="s">
        <v>35</v>
      </c>
      <c r="D169" s="12">
        <v>0</v>
      </c>
      <c r="E169" s="12">
        <v>0</v>
      </c>
      <c r="F169" s="12">
        <v>0</v>
      </c>
      <c r="G169" s="12"/>
      <c r="H169" s="12"/>
      <c r="I169" s="12"/>
      <c r="J169" s="12"/>
      <c r="K169" s="12"/>
      <c r="L169" s="12"/>
      <c r="M169" s="12"/>
      <c r="N169" s="12"/>
      <c r="O169" s="12"/>
      <c r="T169" s="15"/>
      <c r="U169" s="37" t="s">
        <v>31</v>
      </c>
      <c r="V169" s="17">
        <f t="shared" ref="V169" si="236">V147+V148+V150+V151+V152+V153+V154+V155+V156+V158+V159+V160+V162+V163+V164+V165+V167+V168</f>
        <v>11</v>
      </c>
      <c r="W169" s="17">
        <f t="shared" ref="W169" si="237">W147+W148+W150+W151+W152+W153+W154+W155+W156+W158+W159+W160+W162+W163+W164+W165+W167+W168</f>
        <v>12</v>
      </c>
      <c r="X169" s="17">
        <f t="shared" ref="X169" si="238">X147+X148+X150+X151+X152+X153+X154+X155+X156+X158+X159+X160+X162+X163+X164+X165+X167+X168</f>
        <v>12</v>
      </c>
      <c r="Y169" s="17">
        <f t="shared" ref="Y169" si="239">Y147+Y148+Y150+Y151+Y152+Y153+Y154+Y155+Y156+Y158+Y159+Y160+Y162+Y163+Y164+Y165+Y167+Y168</f>
        <v>0</v>
      </c>
      <c r="Z169" s="17">
        <f t="shared" ref="Z169" si="240">Z147+Z148+Z150+Z151+Z152+Z153+Z154+Z155+Z156+Z158+Z159+Z160+Z162+Z163+Z164+Z165+Z167+Z168</f>
        <v>0</v>
      </c>
      <c r="AA169" s="17">
        <f t="shared" ref="AA169" si="241">AA147+AA148+AA150+AA151+AA152+AA153+AA154+AA155+AA156+AA158+AA159+AA160+AA162+AA163+AA164+AA165+AA167+AA168</f>
        <v>0</v>
      </c>
      <c r="AB169" s="17">
        <f t="shared" ref="AB169" si="242">AB147+AB148+AB150+AB151+AB152+AB153+AB154+AB155+AB156+AB158+AB159+AB160+AB162+AB163+AB164+AB165+AB167+AB168</f>
        <v>0</v>
      </c>
      <c r="AC169" s="17">
        <f t="shared" ref="AC169" si="243">AC147+AC148+AC150+AC151+AC152+AC153+AC154+AC155+AC156+AC158+AC159+AC160+AC162+AC163+AC164+AC165+AC167+AC168</f>
        <v>0</v>
      </c>
      <c r="AD169" s="17">
        <f t="shared" ref="AD169" si="244">AD147+AD148+AD150+AD151+AD152+AD153+AD154+AD155+AD156+AD158+AD159+AD160+AD162+AD163+AD164+AD165+AD167+AD168</f>
        <v>0</v>
      </c>
      <c r="AE169" s="17">
        <f t="shared" ref="AE169" si="245">AE147+AE148+AE150+AE151+AE152+AE153+AE154+AE155+AE156+AE158+AE159+AE160+AE162+AE163+AE164+AE165+AE167+AE168</f>
        <v>0</v>
      </c>
      <c r="AF169" s="17">
        <f t="shared" ref="AF169:AG169" si="246">AF147+AF148+AF150+AF151+AF152+AF153+AF154+AF155+AF156+AF158+AF159+AF160+AF162+AF163+AF164+AF165+AF167+AF168</f>
        <v>0</v>
      </c>
      <c r="AG169" s="17">
        <f t="shared" si="246"/>
        <v>0</v>
      </c>
      <c r="AY169" s="16" t="s">
        <v>32</v>
      </c>
      <c r="AZ169" s="17"/>
      <c r="BA169" s="30">
        <f t="shared" ref="BA169" si="247">BA168/18</f>
        <v>0.77777777777777779</v>
      </c>
      <c r="BB169" s="30">
        <f t="shared" ref="BB169" si="248">BB168/18</f>
        <v>0.77777777777777779</v>
      </c>
      <c r="BC169" s="30">
        <f t="shared" ref="BC169" si="249">BC168/18</f>
        <v>0.77777777777777779</v>
      </c>
      <c r="BD169" s="30">
        <f>BD168/18</f>
        <v>0.55555555555555558</v>
      </c>
      <c r="BE169" s="30">
        <f t="shared" ref="BE169" si="250">BE168/18</f>
        <v>0.55555555555555558</v>
      </c>
      <c r="BF169" s="30">
        <f t="shared" ref="BF169" si="251">BF168/18</f>
        <v>0.61111111111111116</v>
      </c>
      <c r="BG169" s="30">
        <f t="shared" ref="BG169" si="252">BG168/18</f>
        <v>0.72222222222222221</v>
      </c>
      <c r="BH169" s="30">
        <f t="shared" ref="BH169" si="253">BH168/18</f>
        <v>0.77777777777777779</v>
      </c>
      <c r="BI169" s="30">
        <f t="shared" ref="BI169" si="254">BI168/18</f>
        <v>0.77777777777777779</v>
      </c>
      <c r="BJ169" s="30">
        <f t="shared" ref="BJ169" si="255">BJ168/18</f>
        <v>0</v>
      </c>
      <c r="BK169" s="30">
        <f t="shared" ref="BK169" si="256">BK168/18</f>
        <v>0</v>
      </c>
      <c r="BL169" s="30">
        <f t="shared" ref="BL169" si="257">BL168/18</f>
        <v>0</v>
      </c>
    </row>
    <row r="170" spans="2:64" ht="75" x14ac:dyDescent="0.35">
      <c r="B170" s="12">
        <v>5</v>
      </c>
      <c r="C170" s="13" t="s">
        <v>36</v>
      </c>
      <c r="D170" s="12">
        <v>1</v>
      </c>
      <c r="E170" s="12">
        <v>1</v>
      </c>
      <c r="F170" s="12">
        <v>1</v>
      </c>
      <c r="G170" s="12"/>
      <c r="H170" s="12"/>
      <c r="I170" s="12"/>
      <c r="J170" s="12"/>
      <c r="K170" s="12"/>
      <c r="L170" s="12"/>
      <c r="M170" s="12"/>
      <c r="N170" s="12"/>
      <c r="O170" s="12"/>
      <c r="T170" s="16" t="s">
        <v>32</v>
      </c>
      <c r="U170" s="17"/>
      <c r="V170" s="30">
        <f t="shared" ref="V170" si="258">V169/18</f>
        <v>0.61111111111111116</v>
      </c>
      <c r="W170" s="30">
        <f t="shared" ref="W170" si="259">W169/18</f>
        <v>0.66666666666666663</v>
      </c>
      <c r="X170" s="30">
        <f t="shared" ref="X170" si="260">X169/18</f>
        <v>0.66666666666666663</v>
      </c>
      <c r="Y170" s="30">
        <f t="shared" ref="Y170" si="261">Y169/18</f>
        <v>0</v>
      </c>
      <c r="Z170" s="30">
        <f t="shared" ref="Z170" si="262">Z169/18</f>
        <v>0</v>
      </c>
      <c r="AA170" s="30">
        <f t="shared" ref="AA170" si="263">AA169/18</f>
        <v>0</v>
      </c>
      <c r="AB170" s="30">
        <f t="shared" ref="AB170" si="264">AB169/18</f>
        <v>0</v>
      </c>
      <c r="AC170" s="30">
        <f t="shared" ref="AC170" si="265">AC169/18</f>
        <v>0</v>
      </c>
      <c r="AD170" s="30">
        <f t="shared" ref="AD170" si="266">AD169/18</f>
        <v>0</v>
      </c>
      <c r="AE170" s="30">
        <f t="shared" ref="AE170" si="267">AE169/18</f>
        <v>0</v>
      </c>
      <c r="AF170" s="30">
        <f t="shared" ref="AF170:AG170" si="268">AF169/18</f>
        <v>0</v>
      </c>
      <c r="AG170" s="30">
        <f t="shared" si="268"/>
        <v>0</v>
      </c>
    </row>
    <row r="171" spans="2:64" ht="31" x14ac:dyDescent="0.35">
      <c r="B171" s="12">
        <v>6</v>
      </c>
      <c r="C171" s="13" t="s">
        <v>37</v>
      </c>
      <c r="D171" s="12">
        <v>0</v>
      </c>
      <c r="E171" s="12">
        <v>0</v>
      </c>
      <c r="F171" s="12">
        <v>0</v>
      </c>
      <c r="G171" s="12"/>
      <c r="H171" s="12"/>
      <c r="I171" s="12"/>
      <c r="J171" s="12"/>
      <c r="K171" s="12"/>
      <c r="L171" s="12"/>
      <c r="M171" s="12"/>
      <c r="N171" s="12"/>
      <c r="O171" s="12"/>
      <c r="AZ171" s="50" t="s">
        <v>159</v>
      </c>
    </row>
    <row r="172" spans="2:64" ht="31" x14ac:dyDescent="0.35">
      <c r="B172" s="12">
        <v>7</v>
      </c>
      <c r="C172" s="13" t="s">
        <v>38</v>
      </c>
      <c r="D172" s="12">
        <v>1</v>
      </c>
      <c r="E172" s="12">
        <v>1</v>
      </c>
      <c r="F172" s="12">
        <v>1</v>
      </c>
      <c r="G172" s="12"/>
      <c r="H172" s="12"/>
      <c r="I172" s="12"/>
      <c r="J172" s="12"/>
      <c r="K172" s="12"/>
      <c r="L172" s="12"/>
      <c r="M172" s="12"/>
      <c r="N172" s="12"/>
      <c r="O172" s="12"/>
      <c r="Z172" s="50" t="s">
        <v>145</v>
      </c>
      <c r="AY172" s="35" t="s">
        <v>0</v>
      </c>
      <c r="AZ172" s="10" t="s">
        <v>25</v>
      </c>
      <c r="BA172" s="37" t="s">
        <v>106</v>
      </c>
      <c r="BB172" s="38"/>
      <c r="BC172" s="39"/>
      <c r="BD172" s="37" t="s">
        <v>108</v>
      </c>
      <c r="BE172" s="38"/>
      <c r="BF172" s="39"/>
      <c r="BG172" s="37" t="s">
        <v>107</v>
      </c>
      <c r="BH172" s="38"/>
      <c r="BI172" s="39"/>
      <c r="BJ172" s="37" t="s">
        <v>109</v>
      </c>
      <c r="BK172" s="38"/>
      <c r="BL172" s="39"/>
    </row>
    <row r="173" spans="2:64" ht="31" x14ac:dyDescent="0.35">
      <c r="B173" s="12">
        <v>8</v>
      </c>
      <c r="C173" s="13" t="s">
        <v>39</v>
      </c>
      <c r="D173" s="12">
        <v>1</v>
      </c>
      <c r="E173" s="12">
        <v>1</v>
      </c>
      <c r="F173" s="12">
        <v>1</v>
      </c>
      <c r="G173" s="12"/>
      <c r="H173" s="12"/>
      <c r="I173" s="12"/>
      <c r="J173" s="12"/>
      <c r="K173" s="12"/>
      <c r="L173" s="12"/>
      <c r="M173" s="12"/>
      <c r="N173" s="12"/>
      <c r="O173" s="12"/>
      <c r="T173" s="35" t="s">
        <v>0</v>
      </c>
      <c r="U173" s="10" t="s">
        <v>25</v>
      </c>
      <c r="V173" s="57" t="s">
        <v>128</v>
      </c>
      <c r="W173" s="58"/>
      <c r="X173" s="59"/>
      <c r="Y173" s="57" t="s">
        <v>129</v>
      </c>
      <c r="Z173" s="58"/>
      <c r="AA173" s="59"/>
      <c r="AB173" s="37"/>
      <c r="AC173" s="38"/>
      <c r="AD173" s="39"/>
      <c r="AE173" s="37"/>
      <c r="AF173" s="38"/>
      <c r="AG173" s="39"/>
      <c r="AY173" s="36"/>
      <c r="AZ173" s="11" t="s">
        <v>26</v>
      </c>
      <c r="BA173" s="14">
        <v>2022</v>
      </c>
      <c r="BB173" s="14">
        <v>2023</v>
      </c>
      <c r="BC173" s="14">
        <v>2024</v>
      </c>
      <c r="BD173" s="14">
        <v>2022</v>
      </c>
      <c r="BE173" s="14">
        <v>2023</v>
      </c>
      <c r="BF173" s="14">
        <v>2024</v>
      </c>
      <c r="BG173" s="14">
        <v>2022</v>
      </c>
      <c r="BH173" s="14">
        <v>2023</v>
      </c>
      <c r="BI173" s="14">
        <v>2024</v>
      </c>
      <c r="BJ173" s="14">
        <v>2022</v>
      </c>
      <c r="BK173" s="14">
        <v>2023</v>
      </c>
      <c r="BL173" s="14">
        <v>2024</v>
      </c>
    </row>
    <row r="174" spans="2:64" ht="46.5" x14ac:dyDescent="0.35">
      <c r="B174" s="12">
        <v>9</v>
      </c>
      <c r="C174" s="13" t="s">
        <v>40</v>
      </c>
      <c r="D174" s="25">
        <v>1</v>
      </c>
      <c r="E174" s="25">
        <v>1</v>
      </c>
      <c r="F174" s="25">
        <v>1</v>
      </c>
      <c r="G174" s="25"/>
      <c r="H174" s="25"/>
      <c r="I174" s="25"/>
      <c r="J174" s="25"/>
      <c r="K174" s="25"/>
      <c r="L174" s="25"/>
      <c r="M174" s="25"/>
      <c r="N174" s="25"/>
      <c r="O174" s="25"/>
      <c r="T174" s="36"/>
      <c r="U174" s="11" t="s">
        <v>26</v>
      </c>
      <c r="V174" s="14">
        <v>2022</v>
      </c>
      <c r="W174" s="14">
        <v>2023</v>
      </c>
      <c r="X174" s="14">
        <v>2024</v>
      </c>
      <c r="Y174" s="14">
        <v>2022</v>
      </c>
      <c r="Z174" s="14">
        <v>2023</v>
      </c>
      <c r="AA174" s="14">
        <v>2024</v>
      </c>
      <c r="AB174" s="14">
        <v>2022</v>
      </c>
      <c r="AC174" s="14">
        <v>2023</v>
      </c>
      <c r="AD174" s="14">
        <v>2024</v>
      </c>
      <c r="AE174" s="14">
        <v>2022</v>
      </c>
      <c r="AF174" s="14">
        <v>2023</v>
      </c>
      <c r="AG174" s="14">
        <v>2024</v>
      </c>
      <c r="AY174" s="12">
        <v>1</v>
      </c>
      <c r="AZ174" s="18" t="s">
        <v>49</v>
      </c>
      <c r="BA174" s="12">
        <v>1</v>
      </c>
      <c r="BB174" s="12">
        <v>1</v>
      </c>
      <c r="BC174" s="12">
        <v>1</v>
      </c>
      <c r="BD174" s="12">
        <v>1</v>
      </c>
      <c r="BE174" s="12">
        <v>1</v>
      </c>
      <c r="BF174" s="12">
        <v>1</v>
      </c>
      <c r="BG174" s="12">
        <v>1</v>
      </c>
      <c r="BH174" s="12">
        <v>1</v>
      </c>
      <c r="BI174" s="12">
        <v>1</v>
      </c>
      <c r="BJ174" s="12">
        <v>1</v>
      </c>
      <c r="BK174" s="12">
        <v>1</v>
      </c>
      <c r="BL174" s="12">
        <v>1</v>
      </c>
    </row>
    <row r="175" spans="2:64" ht="77.5" x14ac:dyDescent="0.35">
      <c r="B175" s="12"/>
      <c r="C175" s="23" t="s">
        <v>28</v>
      </c>
      <c r="D175" s="20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2"/>
      <c r="T175" s="12">
        <v>1</v>
      </c>
      <c r="U175" s="18" t="s">
        <v>49</v>
      </c>
      <c r="V175" s="12">
        <v>0</v>
      </c>
      <c r="W175" s="12">
        <v>1</v>
      </c>
      <c r="X175" s="12">
        <v>1</v>
      </c>
      <c r="Y175" s="12">
        <v>1</v>
      </c>
      <c r="Z175" s="12">
        <v>0</v>
      </c>
      <c r="AA175" s="12">
        <v>1</v>
      </c>
      <c r="AB175" s="12"/>
      <c r="AC175" s="12"/>
      <c r="AD175" s="12"/>
      <c r="AE175" s="12"/>
      <c r="AF175" s="12"/>
      <c r="AG175" s="12"/>
      <c r="AY175" s="12">
        <v>2</v>
      </c>
      <c r="AZ175" s="13" t="s">
        <v>34</v>
      </c>
      <c r="BA175" s="25">
        <v>0</v>
      </c>
      <c r="BB175" s="25">
        <v>1</v>
      </c>
      <c r="BC175" s="25">
        <v>1</v>
      </c>
      <c r="BD175" s="25">
        <v>0</v>
      </c>
      <c r="BE175" s="25">
        <v>0</v>
      </c>
      <c r="BF175" s="25">
        <v>0</v>
      </c>
      <c r="BG175" s="25">
        <v>0</v>
      </c>
      <c r="BH175" s="25">
        <v>1</v>
      </c>
      <c r="BI175" s="25">
        <v>1</v>
      </c>
      <c r="BJ175" s="25">
        <v>0</v>
      </c>
      <c r="BK175" s="25">
        <v>1</v>
      </c>
      <c r="BL175" s="25">
        <v>1</v>
      </c>
    </row>
    <row r="176" spans="2:64" ht="46.5" x14ac:dyDescent="0.35">
      <c r="B176" s="12">
        <v>10</v>
      </c>
      <c r="C176" s="13" t="s">
        <v>41</v>
      </c>
      <c r="D176" s="24">
        <v>1</v>
      </c>
      <c r="E176" s="24">
        <v>1</v>
      </c>
      <c r="F176" s="24">
        <v>1</v>
      </c>
      <c r="G176" s="24"/>
      <c r="H176" s="24"/>
      <c r="I176" s="24"/>
      <c r="J176" s="24"/>
      <c r="K176" s="24"/>
      <c r="L176" s="24"/>
      <c r="M176" s="24"/>
      <c r="N176" s="24"/>
      <c r="O176" s="24"/>
      <c r="T176" s="12">
        <v>2</v>
      </c>
      <c r="U176" s="13" t="s">
        <v>34</v>
      </c>
      <c r="V176" s="25">
        <v>0</v>
      </c>
      <c r="W176" s="25">
        <v>0</v>
      </c>
      <c r="X176" s="25">
        <v>0</v>
      </c>
      <c r="Y176" s="25">
        <v>0</v>
      </c>
      <c r="Z176" s="25">
        <v>0</v>
      </c>
      <c r="AA176" s="25">
        <v>1</v>
      </c>
      <c r="AB176" s="25"/>
      <c r="AC176" s="25"/>
      <c r="AD176" s="25"/>
      <c r="AE176" s="25"/>
      <c r="AF176" s="25"/>
      <c r="AG176" s="25"/>
      <c r="AY176" s="12"/>
      <c r="AZ176" s="19" t="s">
        <v>27</v>
      </c>
      <c r="BA176" s="20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2"/>
    </row>
    <row r="177" spans="2:64" ht="31" x14ac:dyDescent="0.35">
      <c r="B177" s="12">
        <v>11</v>
      </c>
      <c r="C177" s="13" t="s">
        <v>50</v>
      </c>
      <c r="D177" s="12">
        <v>0</v>
      </c>
      <c r="E177" s="12">
        <v>0</v>
      </c>
      <c r="F177" s="12">
        <v>0</v>
      </c>
      <c r="G177" s="12"/>
      <c r="H177" s="12"/>
      <c r="I177" s="12"/>
      <c r="J177" s="12"/>
      <c r="K177" s="12"/>
      <c r="L177" s="12"/>
      <c r="M177" s="12"/>
      <c r="N177" s="12"/>
      <c r="O177" s="12"/>
      <c r="T177" s="12"/>
      <c r="U177" s="19" t="s">
        <v>27</v>
      </c>
      <c r="V177" s="20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2"/>
      <c r="AY177" s="12">
        <v>3</v>
      </c>
      <c r="AZ177" s="13" t="s">
        <v>48</v>
      </c>
      <c r="BA177" s="24">
        <v>1</v>
      </c>
      <c r="BB177" s="24">
        <v>1</v>
      </c>
      <c r="BC177" s="24">
        <v>1</v>
      </c>
      <c r="BD177" s="24">
        <v>0</v>
      </c>
      <c r="BE177" s="24">
        <v>0</v>
      </c>
      <c r="BF177" s="24">
        <v>0</v>
      </c>
      <c r="BG177" s="24">
        <v>1</v>
      </c>
      <c r="BH177" s="24">
        <v>1</v>
      </c>
      <c r="BI177" s="24">
        <v>1</v>
      </c>
      <c r="BJ177" s="24">
        <v>0</v>
      </c>
      <c r="BK177" s="24">
        <v>0</v>
      </c>
      <c r="BL177" s="24">
        <v>0</v>
      </c>
    </row>
    <row r="178" spans="2:64" ht="62" x14ac:dyDescent="0.35">
      <c r="B178" s="12">
        <v>12</v>
      </c>
      <c r="C178" s="13" t="s">
        <v>42</v>
      </c>
      <c r="D178" s="25">
        <v>1</v>
      </c>
      <c r="E178" s="25">
        <v>1</v>
      </c>
      <c r="F178" s="25">
        <v>1</v>
      </c>
      <c r="G178" s="25"/>
      <c r="H178" s="25"/>
      <c r="I178" s="25"/>
      <c r="J178" s="25"/>
      <c r="K178" s="25"/>
      <c r="L178" s="25"/>
      <c r="M178" s="25"/>
      <c r="N178" s="25"/>
      <c r="O178" s="25"/>
      <c r="T178" s="12">
        <v>3</v>
      </c>
      <c r="U178" s="13" t="s">
        <v>48</v>
      </c>
      <c r="V178" s="24">
        <v>1</v>
      </c>
      <c r="W178" s="24">
        <v>1</v>
      </c>
      <c r="X178" s="24">
        <v>1</v>
      </c>
      <c r="Y178" s="24">
        <v>0</v>
      </c>
      <c r="Z178" s="24">
        <v>0</v>
      </c>
      <c r="AA178" s="24">
        <v>0</v>
      </c>
      <c r="AB178" s="24"/>
      <c r="AC178" s="24"/>
      <c r="AD178" s="24"/>
      <c r="AE178" s="24"/>
      <c r="AF178" s="24"/>
      <c r="AG178" s="24"/>
      <c r="AY178" s="12">
        <v>4</v>
      </c>
      <c r="AZ178" s="13" t="s">
        <v>35</v>
      </c>
      <c r="BA178" s="12">
        <v>0</v>
      </c>
      <c r="BB178" s="12">
        <v>0</v>
      </c>
      <c r="BC178" s="12">
        <v>0</v>
      </c>
      <c r="BD178" s="12">
        <v>1</v>
      </c>
      <c r="BE178" s="12">
        <v>1</v>
      </c>
      <c r="BF178" s="12">
        <v>1</v>
      </c>
      <c r="BG178" s="12">
        <v>0</v>
      </c>
      <c r="BH178" s="12">
        <v>0</v>
      </c>
      <c r="BI178" s="12">
        <v>0</v>
      </c>
      <c r="BJ178" s="12">
        <v>1</v>
      </c>
      <c r="BK178" s="12">
        <v>1</v>
      </c>
      <c r="BL178" s="12">
        <v>1</v>
      </c>
    </row>
    <row r="179" spans="2:64" ht="62" x14ac:dyDescent="0.35">
      <c r="B179" s="12"/>
      <c r="C179" s="19" t="s">
        <v>29</v>
      </c>
      <c r="D179" s="20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2"/>
      <c r="T179" s="12">
        <v>4</v>
      </c>
      <c r="U179" s="13" t="s">
        <v>35</v>
      </c>
      <c r="V179" s="12">
        <v>0</v>
      </c>
      <c r="W179" s="12">
        <v>0</v>
      </c>
      <c r="X179" s="12">
        <v>0</v>
      </c>
      <c r="Y179" s="12">
        <v>0</v>
      </c>
      <c r="Z179" s="12">
        <v>0</v>
      </c>
      <c r="AA179" s="12">
        <v>0</v>
      </c>
      <c r="AB179" s="12"/>
      <c r="AC179" s="12"/>
      <c r="AD179" s="12"/>
      <c r="AE179" s="12"/>
      <c r="AF179" s="12"/>
      <c r="AG179" s="12"/>
      <c r="AY179" s="12">
        <v>5</v>
      </c>
      <c r="AZ179" s="13" t="s">
        <v>36</v>
      </c>
      <c r="BA179" s="12">
        <v>1</v>
      </c>
      <c r="BB179" s="12">
        <v>1</v>
      </c>
      <c r="BC179" s="12">
        <v>1</v>
      </c>
      <c r="BD179" s="12">
        <v>1</v>
      </c>
      <c r="BE179" s="12">
        <v>1</v>
      </c>
      <c r="BF179" s="12">
        <v>1</v>
      </c>
      <c r="BG179" s="12">
        <v>1</v>
      </c>
      <c r="BH179" s="12">
        <v>1</v>
      </c>
      <c r="BI179" s="12">
        <v>1</v>
      </c>
      <c r="BJ179" s="12">
        <v>1</v>
      </c>
      <c r="BK179" s="12">
        <v>1</v>
      </c>
      <c r="BL179" s="12">
        <v>1</v>
      </c>
    </row>
    <row r="180" spans="2:64" ht="31" x14ac:dyDescent="0.35">
      <c r="B180" s="12">
        <v>13</v>
      </c>
      <c r="C180" s="13" t="s">
        <v>43</v>
      </c>
      <c r="D180" s="24">
        <v>1</v>
      </c>
      <c r="E180" s="24">
        <v>1</v>
      </c>
      <c r="F180" s="24">
        <v>1</v>
      </c>
      <c r="G180" s="24"/>
      <c r="H180" s="24"/>
      <c r="I180" s="24"/>
      <c r="J180" s="24"/>
      <c r="K180" s="24"/>
      <c r="L180" s="24"/>
      <c r="M180" s="24"/>
      <c r="N180" s="24"/>
      <c r="O180" s="24"/>
      <c r="T180" s="12">
        <v>5</v>
      </c>
      <c r="U180" s="13" t="s">
        <v>36</v>
      </c>
      <c r="V180" s="12">
        <v>1</v>
      </c>
      <c r="W180" s="12">
        <v>1</v>
      </c>
      <c r="X180" s="12">
        <v>1</v>
      </c>
      <c r="Y180" s="12">
        <v>1</v>
      </c>
      <c r="Z180" s="12">
        <v>1</v>
      </c>
      <c r="AA180" s="12">
        <v>1</v>
      </c>
      <c r="AB180" s="12"/>
      <c r="AC180" s="12"/>
      <c r="AD180" s="12"/>
      <c r="AE180" s="12"/>
      <c r="AF180" s="12"/>
      <c r="AG180" s="12"/>
      <c r="AY180" s="12">
        <v>6</v>
      </c>
      <c r="AZ180" s="13" t="s">
        <v>37</v>
      </c>
      <c r="BA180" s="12">
        <v>1</v>
      </c>
      <c r="BB180" s="12">
        <v>1</v>
      </c>
      <c r="BC180" s="12">
        <v>1</v>
      </c>
      <c r="BD180" s="12">
        <v>1</v>
      </c>
      <c r="BE180" s="12">
        <v>1</v>
      </c>
      <c r="BF180" s="12">
        <v>1</v>
      </c>
      <c r="BG180" s="12">
        <v>1</v>
      </c>
      <c r="BH180" s="12">
        <v>1</v>
      </c>
      <c r="BI180" s="12">
        <v>1</v>
      </c>
      <c r="BJ180" s="12">
        <v>1</v>
      </c>
      <c r="BK180" s="12">
        <v>1</v>
      </c>
      <c r="BL180" s="12">
        <v>1</v>
      </c>
    </row>
    <row r="181" spans="2:64" ht="31" x14ac:dyDescent="0.35">
      <c r="B181" s="12">
        <v>14</v>
      </c>
      <c r="C181" s="13" t="s">
        <v>44</v>
      </c>
      <c r="D181" s="12">
        <v>1</v>
      </c>
      <c r="E181" s="12">
        <v>1</v>
      </c>
      <c r="F181" s="12">
        <v>1</v>
      </c>
      <c r="G181" s="12"/>
      <c r="H181" s="12"/>
      <c r="I181" s="12"/>
      <c r="J181" s="12"/>
      <c r="K181" s="12"/>
      <c r="L181" s="12"/>
      <c r="M181" s="12"/>
      <c r="N181" s="12"/>
      <c r="O181" s="12"/>
      <c r="T181" s="12">
        <v>6</v>
      </c>
      <c r="U181" s="13" t="s">
        <v>37</v>
      </c>
      <c r="V181" s="12">
        <v>1</v>
      </c>
      <c r="W181" s="12">
        <v>1</v>
      </c>
      <c r="X181" s="12">
        <v>1</v>
      </c>
      <c r="Y181" s="12">
        <v>1</v>
      </c>
      <c r="Z181" s="12">
        <v>1</v>
      </c>
      <c r="AA181" s="12">
        <v>1</v>
      </c>
      <c r="AB181" s="12"/>
      <c r="AC181" s="12"/>
      <c r="AD181" s="12"/>
      <c r="AE181" s="12"/>
      <c r="AF181" s="12"/>
      <c r="AG181" s="12"/>
      <c r="AY181" s="12">
        <v>7</v>
      </c>
      <c r="AZ181" s="13" t="s">
        <v>38</v>
      </c>
      <c r="BA181" s="12">
        <v>1</v>
      </c>
      <c r="BB181" s="12">
        <v>1</v>
      </c>
      <c r="BC181" s="12">
        <v>1</v>
      </c>
      <c r="BD181" s="12">
        <v>1</v>
      </c>
      <c r="BE181" s="12">
        <v>1</v>
      </c>
      <c r="BF181" s="12">
        <v>1</v>
      </c>
      <c r="BG181" s="12">
        <v>1</v>
      </c>
      <c r="BH181" s="12">
        <v>1</v>
      </c>
      <c r="BI181" s="12">
        <v>1</v>
      </c>
      <c r="BJ181" s="12">
        <v>1</v>
      </c>
      <c r="BK181" s="12">
        <v>1</v>
      </c>
      <c r="BL181" s="12">
        <v>1</v>
      </c>
    </row>
    <row r="182" spans="2:64" ht="46.5" x14ac:dyDescent="0.35">
      <c r="B182" s="12">
        <v>15</v>
      </c>
      <c r="C182" s="13" t="s">
        <v>46</v>
      </c>
      <c r="D182" s="12">
        <v>0</v>
      </c>
      <c r="E182" s="12">
        <v>0</v>
      </c>
      <c r="F182" s="12">
        <v>0</v>
      </c>
      <c r="G182" s="12"/>
      <c r="H182" s="12"/>
      <c r="I182" s="12"/>
      <c r="J182" s="12"/>
      <c r="K182" s="12"/>
      <c r="L182" s="12"/>
      <c r="M182" s="12"/>
      <c r="N182" s="12"/>
      <c r="O182" s="12"/>
      <c r="T182" s="12">
        <v>7</v>
      </c>
      <c r="U182" s="13" t="s">
        <v>38</v>
      </c>
      <c r="V182" s="12">
        <v>1</v>
      </c>
      <c r="W182" s="12">
        <v>1</v>
      </c>
      <c r="X182" s="12">
        <v>1</v>
      </c>
      <c r="Y182" s="12">
        <v>1</v>
      </c>
      <c r="Z182" s="12">
        <v>1</v>
      </c>
      <c r="AA182" s="12">
        <v>1</v>
      </c>
      <c r="AB182" s="12"/>
      <c r="AC182" s="12"/>
      <c r="AD182" s="12"/>
      <c r="AE182" s="12"/>
      <c r="AF182" s="12"/>
      <c r="AG182" s="12"/>
      <c r="AY182" s="12">
        <v>8</v>
      </c>
      <c r="AZ182" s="13" t="s">
        <v>39</v>
      </c>
      <c r="BA182" s="12">
        <v>1</v>
      </c>
      <c r="BB182" s="12">
        <v>1</v>
      </c>
      <c r="BC182" s="12">
        <v>1</v>
      </c>
      <c r="BD182" s="12">
        <v>1</v>
      </c>
      <c r="BE182" s="12">
        <v>1</v>
      </c>
      <c r="BF182" s="12">
        <v>1</v>
      </c>
      <c r="BG182" s="12">
        <v>1</v>
      </c>
      <c r="BH182" s="12">
        <v>1</v>
      </c>
      <c r="BI182" s="12">
        <v>1</v>
      </c>
      <c r="BJ182" s="12">
        <v>1</v>
      </c>
      <c r="BK182" s="12">
        <v>1</v>
      </c>
      <c r="BL182" s="12">
        <v>1</v>
      </c>
    </row>
    <row r="183" spans="2:64" ht="46.5" x14ac:dyDescent="0.35">
      <c r="B183" s="12">
        <v>16</v>
      </c>
      <c r="C183" s="13" t="s">
        <v>45</v>
      </c>
      <c r="D183" s="25">
        <v>0</v>
      </c>
      <c r="E183" s="25">
        <v>0</v>
      </c>
      <c r="F183" s="25">
        <v>0</v>
      </c>
      <c r="G183" s="25"/>
      <c r="H183" s="25"/>
      <c r="I183" s="25"/>
      <c r="J183" s="25"/>
      <c r="K183" s="25"/>
      <c r="L183" s="25"/>
      <c r="M183" s="25"/>
      <c r="N183" s="25"/>
      <c r="O183" s="25"/>
      <c r="T183" s="12">
        <v>8</v>
      </c>
      <c r="U183" s="13" t="s">
        <v>39</v>
      </c>
      <c r="V183" s="12">
        <v>1</v>
      </c>
      <c r="W183" s="12">
        <v>1</v>
      </c>
      <c r="X183" s="12">
        <v>1</v>
      </c>
      <c r="Y183" s="12">
        <v>1</v>
      </c>
      <c r="Z183" s="12">
        <v>1</v>
      </c>
      <c r="AA183" s="12">
        <v>1</v>
      </c>
      <c r="AB183" s="12"/>
      <c r="AC183" s="12"/>
      <c r="AD183" s="12"/>
      <c r="AE183" s="12"/>
      <c r="AF183" s="12"/>
      <c r="AG183" s="12"/>
      <c r="AY183" s="12">
        <v>9</v>
      </c>
      <c r="AZ183" s="13" t="s">
        <v>40</v>
      </c>
      <c r="BA183" s="25">
        <v>1</v>
      </c>
      <c r="BB183" s="25">
        <v>1</v>
      </c>
      <c r="BC183" s="25">
        <v>1</v>
      </c>
      <c r="BD183" s="25">
        <v>1</v>
      </c>
      <c r="BE183" s="25">
        <v>1</v>
      </c>
      <c r="BF183" s="25">
        <v>1</v>
      </c>
      <c r="BG183" s="25">
        <v>1</v>
      </c>
      <c r="BH183" s="25">
        <v>1</v>
      </c>
      <c r="BI183" s="25">
        <v>1</v>
      </c>
      <c r="BJ183" s="25">
        <v>1</v>
      </c>
      <c r="BK183" s="25">
        <v>1</v>
      </c>
      <c r="BL183" s="25">
        <v>1</v>
      </c>
    </row>
    <row r="184" spans="2:64" ht="31" x14ac:dyDescent="0.35">
      <c r="B184" s="12"/>
      <c r="C184" s="23" t="s">
        <v>30</v>
      </c>
      <c r="D184" s="20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2"/>
      <c r="T184" s="12">
        <v>9</v>
      </c>
      <c r="U184" s="13" t="s">
        <v>40</v>
      </c>
      <c r="V184" s="25">
        <v>1</v>
      </c>
      <c r="W184" s="25">
        <v>1</v>
      </c>
      <c r="X184" s="25">
        <v>1</v>
      </c>
      <c r="Y184" s="25">
        <v>1</v>
      </c>
      <c r="Z184" s="25">
        <v>1</v>
      </c>
      <c r="AA184" s="25">
        <v>1</v>
      </c>
      <c r="AB184" s="25"/>
      <c r="AC184" s="25"/>
      <c r="AD184" s="25"/>
      <c r="AE184" s="25"/>
      <c r="AF184" s="25"/>
      <c r="AG184" s="25"/>
      <c r="AY184" s="12"/>
      <c r="AZ184" s="23" t="s">
        <v>28</v>
      </c>
      <c r="BA184" s="20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2"/>
    </row>
    <row r="185" spans="2:64" ht="46.5" x14ac:dyDescent="0.35">
      <c r="B185" s="12">
        <v>17</v>
      </c>
      <c r="C185" s="13" t="s">
        <v>47</v>
      </c>
      <c r="D185" s="24">
        <v>0</v>
      </c>
      <c r="E185" s="24">
        <v>0</v>
      </c>
      <c r="F185" s="24">
        <v>0</v>
      </c>
      <c r="G185" s="24"/>
      <c r="H185" s="24"/>
      <c r="I185" s="24"/>
      <c r="J185" s="24"/>
      <c r="K185" s="24"/>
      <c r="L185" s="24"/>
      <c r="M185" s="24"/>
      <c r="N185" s="24"/>
      <c r="O185" s="24"/>
      <c r="T185" s="12"/>
      <c r="U185" s="23" t="s">
        <v>28</v>
      </c>
      <c r="V185" s="20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2"/>
      <c r="AY185" s="12">
        <v>10</v>
      </c>
      <c r="AZ185" s="13" t="s">
        <v>41</v>
      </c>
      <c r="BA185" s="24">
        <v>1</v>
      </c>
      <c r="BB185" s="24">
        <v>1</v>
      </c>
      <c r="BC185" s="24">
        <v>1</v>
      </c>
      <c r="BD185" s="24">
        <v>1</v>
      </c>
      <c r="BE185" s="24">
        <v>1</v>
      </c>
      <c r="BF185" s="24">
        <v>1</v>
      </c>
      <c r="BG185" s="24">
        <v>1</v>
      </c>
      <c r="BH185" s="24">
        <v>1</v>
      </c>
      <c r="BI185" s="24">
        <v>1</v>
      </c>
      <c r="BJ185" s="24">
        <v>1</v>
      </c>
      <c r="BK185" s="24">
        <v>1</v>
      </c>
      <c r="BL185" s="24">
        <v>1</v>
      </c>
    </row>
    <row r="186" spans="2:64" ht="62" x14ac:dyDescent="0.35">
      <c r="B186" s="12">
        <v>18</v>
      </c>
      <c r="C186" s="13" t="s">
        <v>33</v>
      </c>
      <c r="D186" s="25">
        <v>0</v>
      </c>
      <c r="E186" s="25">
        <v>0</v>
      </c>
      <c r="F186" s="25">
        <v>0</v>
      </c>
      <c r="G186" s="25"/>
      <c r="H186" s="25"/>
      <c r="I186" s="25"/>
      <c r="J186" s="25"/>
      <c r="K186" s="25"/>
      <c r="L186" s="25"/>
      <c r="M186" s="25"/>
      <c r="N186" s="25"/>
      <c r="O186" s="25"/>
      <c r="T186" s="12">
        <v>10</v>
      </c>
      <c r="U186" s="13" t="s">
        <v>41</v>
      </c>
      <c r="V186" s="24">
        <v>1</v>
      </c>
      <c r="W186" s="24">
        <v>1</v>
      </c>
      <c r="X186" s="24">
        <v>1</v>
      </c>
      <c r="Y186" s="24">
        <v>1</v>
      </c>
      <c r="Z186" s="24">
        <v>1</v>
      </c>
      <c r="AA186" s="24">
        <v>1</v>
      </c>
      <c r="AB186" s="24"/>
      <c r="AC186" s="24"/>
      <c r="AD186" s="24"/>
      <c r="AE186" s="24"/>
      <c r="AF186" s="24"/>
      <c r="AG186" s="24"/>
      <c r="AY186" s="12">
        <v>11</v>
      </c>
      <c r="AZ186" s="13" t="s">
        <v>50</v>
      </c>
      <c r="BA186" s="12">
        <v>1</v>
      </c>
      <c r="BB186" s="12">
        <v>1</v>
      </c>
      <c r="BC186" s="12">
        <v>1</v>
      </c>
      <c r="BD186" s="12">
        <v>1</v>
      </c>
      <c r="BE186" s="12">
        <v>1</v>
      </c>
      <c r="BF186" s="12">
        <v>0</v>
      </c>
      <c r="BG186" s="12">
        <v>1</v>
      </c>
      <c r="BH186" s="12">
        <v>1</v>
      </c>
      <c r="BI186" s="12">
        <v>1</v>
      </c>
      <c r="BJ186" s="12">
        <v>1</v>
      </c>
      <c r="BK186" s="12">
        <v>1</v>
      </c>
      <c r="BL186" s="12">
        <v>1</v>
      </c>
    </row>
    <row r="187" spans="2:64" ht="46.5" x14ac:dyDescent="0.35">
      <c r="B187" s="15"/>
      <c r="C187" s="23" t="s">
        <v>31</v>
      </c>
      <c r="D187" s="17">
        <f>D165+D166+D168+D169+D170+D171+D172+D173+D174+D176+D177+D178+D180+D181+D182+D183+D185+D186</f>
        <v>8</v>
      </c>
      <c r="E187" s="17">
        <f t="shared" ref="E187:F187" si="269">E165+E166+E168+E169+E170+E171+E172+E173+E174+E176+E177+E178+E180+E181+E182+E183+E185+E186</f>
        <v>8</v>
      </c>
      <c r="F187" s="17">
        <f t="shared" si="269"/>
        <v>8</v>
      </c>
      <c r="G187" s="17"/>
      <c r="H187" s="17"/>
      <c r="I187" s="17"/>
      <c r="J187" s="17"/>
      <c r="K187" s="17"/>
      <c r="L187" s="17"/>
      <c r="M187" s="17"/>
      <c r="N187" s="17"/>
      <c r="O187" s="17"/>
      <c r="T187" s="12">
        <v>11</v>
      </c>
      <c r="U187" s="13" t="s">
        <v>50</v>
      </c>
      <c r="V187" s="12">
        <v>0</v>
      </c>
      <c r="W187" s="12">
        <v>0</v>
      </c>
      <c r="X187" s="12">
        <v>0</v>
      </c>
      <c r="Y187" s="12">
        <v>1</v>
      </c>
      <c r="Z187" s="12">
        <v>0</v>
      </c>
      <c r="AA187" s="12">
        <v>0</v>
      </c>
      <c r="AB187" s="12"/>
      <c r="AC187" s="12"/>
      <c r="AD187" s="12"/>
      <c r="AE187" s="12"/>
      <c r="AF187" s="12"/>
      <c r="AG187" s="12"/>
      <c r="AY187" s="12">
        <v>12</v>
      </c>
      <c r="AZ187" s="13" t="s">
        <v>42</v>
      </c>
      <c r="BA187" s="25">
        <v>1</v>
      </c>
      <c r="BB187" s="25">
        <v>1</v>
      </c>
      <c r="BC187" s="25">
        <v>1</v>
      </c>
      <c r="BD187" s="25">
        <v>1</v>
      </c>
      <c r="BE187" s="25">
        <v>1</v>
      </c>
      <c r="BF187" s="25">
        <v>1</v>
      </c>
      <c r="BG187" s="25">
        <v>1</v>
      </c>
      <c r="BH187" s="25">
        <v>1</v>
      </c>
      <c r="BI187" s="25">
        <v>1</v>
      </c>
      <c r="BJ187" s="25">
        <v>1</v>
      </c>
      <c r="BK187" s="25">
        <v>1</v>
      </c>
      <c r="BL187" s="25">
        <v>1</v>
      </c>
    </row>
    <row r="188" spans="2:64" ht="60" x14ac:dyDescent="0.35">
      <c r="B188" s="16" t="s">
        <v>32</v>
      </c>
      <c r="C188" s="17"/>
      <c r="D188" s="24">
        <f>D187/18</f>
        <v>0.44444444444444442</v>
      </c>
      <c r="E188" s="24">
        <f t="shared" ref="E188:F188" si="270">E187/18</f>
        <v>0.44444444444444442</v>
      </c>
      <c r="F188" s="24">
        <f t="shared" si="270"/>
        <v>0.44444444444444442</v>
      </c>
      <c r="G188" s="24"/>
      <c r="H188" s="24"/>
      <c r="I188" s="24"/>
      <c r="J188" s="24"/>
      <c r="K188" s="24"/>
      <c r="L188" s="24"/>
      <c r="M188" s="24"/>
      <c r="N188" s="24"/>
      <c r="O188" s="24"/>
      <c r="T188" s="12">
        <v>12</v>
      </c>
      <c r="U188" s="13" t="s">
        <v>42</v>
      </c>
      <c r="V188" s="25">
        <v>1</v>
      </c>
      <c r="W188" s="25">
        <v>1</v>
      </c>
      <c r="X188" s="25">
        <v>1</v>
      </c>
      <c r="Y188" s="25">
        <v>1</v>
      </c>
      <c r="Z188" s="25">
        <v>1</v>
      </c>
      <c r="AA188" s="25">
        <v>1</v>
      </c>
      <c r="AB188" s="25"/>
      <c r="AC188" s="25"/>
      <c r="AD188" s="25"/>
      <c r="AE188" s="25"/>
      <c r="AF188" s="25"/>
      <c r="AG188" s="25"/>
      <c r="AY188" s="12"/>
      <c r="AZ188" s="19" t="s">
        <v>29</v>
      </c>
      <c r="BA188" s="20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2"/>
    </row>
    <row r="189" spans="2:64" ht="31" x14ac:dyDescent="0.35">
      <c r="T189" s="12"/>
      <c r="U189" s="19" t="s">
        <v>29</v>
      </c>
      <c r="V189" s="20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2"/>
      <c r="AY189" s="12">
        <v>13</v>
      </c>
      <c r="AZ189" s="13" t="s">
        <v>43</v>
      </c>
      <c r="BA189" s="24">
        <v>1</v>
      </c>
      <c r="BB189" s="24">
        <v>1</v>
      </c>
      <c r="BC189" s="24">
        <v>1</v>
      </c>
      <c r="BD189" s="24">
        <v>1</v>
      </c>
      <c r="BE189" s="24">
        <v>1</v>
      </c>
      <c r="BF189" s="24">
        <v>1</v>
      </c>
      <c r="BG189" s="24">
        <v>1</v>
      </c>
      <c r="BH189" s="24">
        <v>1</v>
      </c>
      <c r="BI189" s="24">
        <v>1</v>
      </c>
      <c r="BJ189" s="24">
        <v>1</v>
      </c>
      <c r="BK189" s="24">
        <v>1</v>
      </c>
      <c r="BL189" s="24">
        <v>1</v>
      </c>
    </row>
    <row r="190" spans="2:64" ht="31" x14ac:dyDescent="0.35">
      <c r="T190" s="12">
        <v>13</v>
      </c>
      <c r="U190" s="13" t="s">
        <v>43</v>
      </c>
      <c r="V190" s="24">
        <v>1</v>
      </c>
      <c r="W190" s="24">
        <v>1</v>
      </c>
      <c r="X190" s="24">
        <v>1</v>
      </c>
      <c r="Y190" s="24">
        <v>1</v>
      </c>
      <c r="Z190" s="24">
        <v>1</v>
      </c>
      <c r="AA190" s="24">
        <v>1</v>
      </c>
      <c r="AB190" s="24"/>
      <c r="AC190" s="24"/>
      <c r="AD190" s="24"/>
      <c r="AE190" s="24"/>
      <c r="AF190" s="24"/>
      <c r="AG190" s="24"/>
      <c r="AY190" s="12">
        <v>14</v>
      </c>
      <c r="AZ190" s="13" t="s">
        <v>44</v>
      </c>
      <c r="BA190" s="12">
        <v>1</v>
      </c>
      <c r="BB190" s="12">
        <v>1</v>
      </c>
      <c r="BC190" s="12">
        <v>1</v>
      </c>
      <c r="BD190" s="12">
        <v>1</v>
      </c>
      <c r="BE190" s="12">
        <v>1</v>
      </c>
      <c r="BF190" s="12">
        <v>1</v>
      </c>
      <c r="BG190" s="12">
        <v>1</v>
      </c>
      <c r="BH190" s="12">
        <v>1</v>
      </c>
      <c r="BI190" s="12">
        <v>1</v>
      </c>
      <c r="BJ190" s="12">
        <v>1</v>
      </c>
      <c r="BK190" s="12">
        <v>1</v>
      </c>
      <c r="BL190" s="12">
        <v>1</v>
      </c>
    </row>
    <row r="191" spans="2:64" ht="46.5" x14ac:dyDescent="0.35">
      <c r="T191" s="12">
        <v>14</v>
      </c>
      <c r="U191" s="13" t="s">
        <v>44</v>
      </c>
      <c r="V191" s="12">
        <v>1</v>
      </c>
      <c r="W191" s="12">
        <v>1</v>
      </c>
      <c r="X191" s="12">
        <v>1</v>
      </c>
      <c r="Y191" s="12">
        <v>1</v>
      </c>
      <c r="Z191" s="12">
        <v>1</v>
      </c>
      <c r="AA191" s="12">
        <v>1</v>
      </c>
      <c r="AB191" s="12"/>
      <c r="AC191" s="12"/>
      <c r="AD191" s="12"/>
      <c r="AE191" s="12"/>
      <c r="AF191" s="12"/>
      <c r="AG191" s="12"/>
      <c r="AY191" s="12">
        <v>15</v>
      </c>
      <c r="AZ191" s="13" t="s">
        <v>46</v>
      </c>
      <c r="BA191" s="12">
        <v>1</v>
      </c>
      <c r="BB191" s="12">
        <v>1</v>
      </c>
      <c r="BC191" s="12">
        <v>1</v>
      </c>
      <c r="BD191" s="12">
        <v>1</v>
      </c>
      <c r="BE191" s="12">
        <v>1</v>
      </c>
      <c r="BF191" s="12">
        <v>1</v>
      </c>
      <c r="BG191" s="12">
        <v>1</v>
      </c>
      <c r="BH191" s="12">
        <v>1</v>
      </c>
      <c r="BI191" s="12">
        <v>1</v>
      </c>
      <c r="BJ191" s="12">
        <v>1</v>
      </c>
      <c r="BK191" s="12">
        <v>1</v>
      </c>
      <c r="BL191" s="12">
        <v>1</v>
      </c>
    </row>
    <row r="192" spans="2:64" ht="62" x14ac:dyDescent="0.35">
      <c r="T192" s="12">
        <v>15</v>
      </c>
      <c r="U192" s="13" t="s">
        <v>46</v>
      </c>
      <c r="V192" s="12">
        <v>1</v>
      </c>
      <c r="W192" s="12">
        <v>1</v>
      </c>
      <c r="X192" s="12">
        <v>1</v>
      </c>
      <c r="Y192" s="12">
        <v>1</v>
      </c>
      <c r="Z192" s="12">
        <v>1</v>
      </c>
      <c r="AA192" s="12">
        <v>1</v>
      </c>
      <c r="AB192" s="12"/>
      <c r="AC192" s="12"/>
      <c r="AD192" s="12"/>
      <c r="AE192" s="12"/>
      <c r="AF192" s="12"/>
      <c r="AG192" s="12"/>
      <c r="AY192" s="12">
        <v>16</v>
      </c>
      <c r="AZ192" s="13" t="s">
        <v>45</v>
      </c>
      <c r="BA192" s="25">
        <v>0</v>
      </c>
      <c r="BB192" s="25">
        <v>0</v>
      </c>
      <c r="BC192" s="25">
        <v>0</v>
      </c>
      <c r="BD192" s="25">
        <v>0</v>
      </c>
      <c r="BE192" s="25">
        <v>0</v>
      </c>
      <c r="BF192" s="25">
        <v>0</v>
      </c>
      <c r="BG192" s="25">
        <v>0</v>
      </c>
      <c r="BH192" s="25">
        <v>0</v>
      </c>
      <c r="BI192" s="25">
        <v>0</v>
      </c>
      <c r="BJ192" s="25">
        <v>0</v>
      </c>
      <c r="BK192" s="25">
        <v>0</v>
      </c>
      <c r="BL192" s="25">
        <v>0</v>
      </c>
    </row>
    <row r="193" spans="20:64" ht="62" x14ac:dyDescent="0.35">
      <c r="T193" s="12">
        <v>16</v>
      </c>
      <c r="U193" s="13" t="s">
        <v>45</v>
      </c>
      <c r="V193" s="25">
        <v>0</v>
      </c>
      <c r="W193" s="25">
        <v>0</v>
      </c>
      <c r="X193" s="25">
        <v>0</v>
      </c>
      <c r="Y193" s="25">
        <v>0</v>
      </c>
      <c r="Z193" s="25">
        <v>0</v>
      </c>
      <c r="AA193" s="25">
        <v>0</v>
      </c>
      <c r="AB193" s="25"/>
      <c r="AC193" s="25"/>
      <c r="AD193" s="25"/>
      <c r="AE193" s="25"/>
      <c r="AF193" s="25"/>
      <c r="AG193" s="25"/>
      <c r="AY193" s="12"/>
      <c r="AZ193" s="23" t="s">
        <v>30</v>
      </c>
      <c r="BA193" s="20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2"/>
    </row>
    <row r="194" spans="20:64" ht="46.5" x14ac:dyDescent="0.35">
      <c r="T194" s="12"/>
      <c r="U194" s="23" t="s">
        <v>30</v>
      </c>
      <c r="V194" s="20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2"/>
      <c r="AY194" s="12">
        <v>17</v>
      </c>
      <c r="AZ194" s="13" t="s">
        <v>47</v>
      </c>
      <c r="BA194" s="24">
        <v>0</v>
      </c>
      <c r="BB194" s="24">
        <v>0</v>
      </c>
      <c r="BC194" s="24">
        <v>0</v>
      </c>
      <c r="BD194" s="24">
        <v>0</v>
      </c>
      <c r="BE194" s="24">
        <v>0</v>
      </c>
      <c r="BF194" s="24">
        <v>0</v>
      </c>
      <c r="BG194" s="24">
        <v>0</v>
      </c>
      <c r="BH194" s="24">
        <v>0</v>
      </c>
      <c r="BI194" s="24">
        <v>0</v>
      </c>
      <c r="BJ194" s="24">
        <v>0</v>
      </c>
      <c r="BK194" s="24">
        <v>0</v>
      </c>
      <c r="BL194" s="24">
        <v>0</v>
      </c>
    </row>
    <row r="195" spans="20:64" ht="62" x14ac:dyDescent="0.35">
      <c r="T195" s="12">
        <v>17</v>
      </c>
      <c r="U195" s="13" t="s">
        <v>47</v>
      </c>
      <c r="V195" s="24">
        <v>0</v>
      </c>
      <c r="W195" s="24">
        <v>0</v>
      </c>
      <c r="X195" s="24">
        <v>0</v>
      </c>
      <c r="Y195" s="24">
        <v>0</v>
      </c>
      <c r="Z195" s="24">
        <v>0</v>
      </c>
      <c r="AA195" s="24">
        <v>0</v>
      </c>
      <c r="AB195" s="24"/>
      <c r="AC195" s="24"/>
      <c r="AD195" s="24"/>
      <c r="AE195" s="24"/>
      <c r="AF195" s="24"/>
      <c r="AG195" s="24"/>
      <c r="AY195" s="12">
        <v>18</v>
      </c>
      <c r="AZ195" s="13" t="s">
        <v>33</v>
      </c>
      <c r="BA195" s="25">
        <v>0</v>
      </c>
      <c r="BB195" s="25">
        <v>0</v>
      </c>
      <c r="BC195" s="25">
        <v>0</v>
      </c>
      <c r="BD195" s="25">
        <v>0</v>
      </c>
      <c r="BE195" s="25">
        <v>0</v>
      </c>
      <c r="BF195" s="25">
        <v>0</v>
      </c>
      <c r="BG195" s="25">
        <v>0</v>
      </c>
      <c r="BH195" s="25">
        <v>0</v>
      </c>
      <c r="BI195" s="25">
        <v>0</v>
      </c>
      <c r="BJ195" s="25">
        <v>0</v>
      </c>
      <c r="BK195" s="25">
        <v>0</v>
      </c>
      <c r="BL195" s="25">
        <v>0</v>
      </c>
    </row>
    <row r="196" spans="20:64" ht="77.5" x14ac:dyDescent="0.35">
      <c r="T196" s="12">
        <v>18</v>
      </c>
      <c r="U196" s="13" t="s">
        <v>33</v>
      </c>
      <c r="V196" s="25">
        <v>0</v>
      </c>
      <c r="W196" s="25">
        <v>0</v>
      </c>
      <c r="X196" s="25">
        <v>0</v>
      </c>
      <c r="Y196" s="25">
        <v>0</v>
      </c>
      <c r="Z196" s="25">
        <v>0</v>
      </c>
      <c r="AA196" s="25">
        <v>0</v>
      </c>
      <c r="AB196" s="25"/>
      <c r="AC196" s="25"/>
      <c r="AD196" s="25"/>
      <c r="AE196" s="25"/>
      <c r="AF196" s="25"/>
      <c r="AG196" s="25"/>
      <c r="AY196" s="15"/>
      <c r="AZ196" s="37" t="s">
        <v>31</v>
      </c>
      <c r="BA196" s="17">
        <f t="shared" ref="BA196" si="271">BA174+BA175+BA177+BA178+BA179+BA180+BA181+BA182+BA183+BA185+BA186+BA187+BA189+BA190+BA191+BA192+BA194+BA195</f>
        <v>13</v>
      </c>
      <c r="BB196" s="17">
        <f t="shared" ref="BB196" si="272">BB174+BB175+BB177+BB178+BB179+BB180+BB181+BB182+BB183+BB185+BB186+BB187+BB189+BB190+BB191+BB192+BB194+BB195</f>
        <v>14</v>
      </c>
      <c r="BC196" s="17">
        <f t="shared" ref="BC196" si="273">BC174+BC175+BC177+BC178+BC179+BC180+BC181+BC182+BC183+BC185+BC186+BC187+BC189+BC190+BC191+BC192+BC194+BC195</f>
        <v>14</v>
      </c>
      <c r="BD196" s="17">
        <f>BD174+BD175+BD177+BD178+BD179+BD180+BD181+BD182+BD183+BD185+BD186+BD187+BD189+BD190+BD191+BD192+BD194+BD195</f>
        <v>13</v>
      </c>
      <c r="BE196" s="17">
        <f>BE174+BE175+BE177+BE178+BE179+BE180+BE181+BE182+BE183+BE185+BE186+BE187+BE189+BE190+BE191+BE192+BE194+BE195</f>
        <v>13</v>
      </c>
      <c r="BF196" s="17">
        <f t="shared" ref="BF196" si="274">BF174+BF175+BF177+BF178+BF179+BF180+BF181+BF182+BF183+BF185+BF186+BF187+BF189+BF190+BF191+BF192+BF194+BF195</f>
        <v>12</v>
      </c>
      <c r="BG196" s="17">
        <f t="shared" ref="BG196" si="275">BG174+BG175+BG177+BG178+BG179+BG180+BG181+BG182+BG183+BG185+BG186+BG187+BG189+BG190+BG191+BG192+BG194+BG195</f>
        <v>13</v>
      </c>
      <c r="BH196" s="17">
        <f t="shared" ref="BH196" si="276">BH174+BH175+BH177+BH178+BH179+BH180+BH181+BH182+BH183+BH185+BH186+BH187+BH189+BH190+BH191+BH192+BH194+BH195</f>
        <v>14</v>
      </c>
      <c r="BI196" s="17">
        <f t="shared" ref="BI196" si="277">BI174+BI175+BI177+BI178+BI179+BI180+BI181+BI182+BI183+BI185+BI186+BI187+BI189+BI190+BI191+BI192+BI194+BI195</f>
        <v>14</v>
      </c>
      <c r="BJ196" s="17">
        <f t="shared" ref="BJ196" si="278">BJ174+BJ175+BJ177+BJ178+BJ179+BJ180+BJ181+BJ182+BJ183+BJ185+BJ186+BJ187+BJ189+BJ190+BJ191+BJ192+BJ194+BJ195</f>
        <v>13</v>
      </c>
      <c r="BK196" s="17">
        <f t="shared" ref="BK196" si="279">BK174+BK175+BK177+BK178+BK179+BK180+BK181+BK182+BK183+BK185+BK186+BK187+BK189+BK190+BK191+BK192+BK194+BK195</f>
        <v>14</v>
      </c>
      <c r="BL196" s="17">
        <f t="shared" ref="BL196" si="280">BL174+BL175+BL177+BL178+BL179+BL180+BL181+BL182+BL183+BL185+BL186+BL187+BL189+BL190+BL191+BL192+BL194+BL195</f>
        <v>14</v>
      </c>
    </row>
    <row r="197" spans="20:64" ht="75" x14ac:dyDescent="0.35">
      <c r="T197" s="15"/>
      <c r="U197" s="37" t="s">
        <v>31</v>
      </c>
      <c r="V197" s="17">
        <f t="shared" ref="V197:AF197" si="281">V175+V176+V178+V179+V180+V181+V182+V183+V184+V186+V187+V188+V190+V191+V192+V193+V195+V196</f>
        <v>11</v>
      </c>
      <c r="W197" s="17">
        <f t="shared" si="281"/>
        <v>12</v>
      </c>
      <c r="X197" s="17">
        <f t="shared" si="281"/>
        <v>12</v>
      </c>
      <c r="Y197" s="17">
        <f t="shared" si="281"/>
        <v>12</v>
      </c>
      <c r="Z197" s="17">
        <f t="shared" si="281"/>
        <v>10</v>
      </c>
      <c r="AA197" s="17">
        <f t="shared" si="281"/>
        <v>12</v>
      </c>
      <c r="AB197" s="17">
        <f t="shared" si="281"/>
        <v>0</v>
      </c>
      <c r="AC197" s="17">
        <f t="shared" si="281"/>
        <v>0</v>
      </c>
      <c r="AD197" s="17">
        <f t="shared" si="281"/>
        <v>0</v>
      </c>
      <c r="AE197" s="17">
        <f t="shared" si="281"/>
        <v>0</v>
      </c>
      <c r="AF197" s="17">
        <f t="shared" si="281"/>
        <v>0</v>
      </c>
      <c r="AG197" s="17">
        <f t="shared" ref="AG197" si="282">AG175+AG176+AG178+AG179+AG180+AG181+AG182+AG183+AG184+AG186+AG187+AG188+AG190+AG191+AG192+AG193+AG195+AG196</f>
        <v>0</v>
      </c>
      <c r="AY197" s="16" t="s">
        <v>32</v>
      </c>
      <c r="AZ197" s="17"/>
      <c r="BA197" s="30">
        <f t="shared" ref="BA197" si="283">BA196/18</f>
        <v>0.72222222222222221</v>
      </c>
      <c r="BB197" s="30">
        <f t="shared" ref="BB197" si="284">BB196/18</f>
        <v>0.77777777777777779</v>
      </c>
      <c r="BC197" s="30">
        <f t="shared" ref="BC197" si="285">BC196/18</f>
        <v>0.77777777777777779</v>
      </c>
      <c r="BD197" s="30">
        <f>BD196/18</f>
        <v>0.72222222222222221</v>
      </c>
      <c r="BE197" s="30">
        <f t="shared" ref="BE197" si="286">BE196/18</f>
        <v>0.72222222222222221</v>
      </c>
      <c r="BF197" s="30">
        <f t="shared" ref="BF197" si="287">BF196/18</f>
        <v>0.66666666666666663</v>
      </c>
      <c r="BG197" s="30">
        <f t="shared" ref="BG197" si="288">BG196/18</f>
        <v>0.72222222222222221</v>
      </c>
      <c r="BH197" s="30">
        <f t="shared" ref="BH197" si="289">BH196/18</f>
        <v>0.77777777777777779</v>
      </c>
      <c r="BI197" s="30">
        <f t="shared" ref="BI197" si="290">BI196/18</f>
        <v>0.77777777777777779</v>
      </c>
      <c r="BJ197" s="30">
        <f t="shared" ref="BJ197" si="291">BJ196/18</f>
        <v>0.72222222222222221</v>
      </c>
      <c r="BK197" s="30">
        <f t="shared" ref="BK197" si="292">BK196/18</f>
        <v>0.77777777777777779</v>
      </c>
      <c r="BL197" s="30">
        <f t="shared" ref="BL197" si="293">BL196/18</f>
        <v>0.77777777777777779</v>
      </c>
    </row>
    <row r="198" spans="20:64" ht="75" x14ac:dyDescent="0.35">
      <c r="T198" s="16" t="s">
        <v>32</v>
      </c>
      <c r="U198" s="17"/>
      <c r="V198" s="30">
        <f t="shared" ref="V198:AF198" si="294">V197/18</f>
        <v>0.61111111111111116</v>
      </c>
      <c r="W198" s="30">
        <f t="shared" si="294"/>
        <v>0.66666666666666663</v>
      </c>
      <c r="X198" s="30">
        <f t="shared" si="294"/>
        <v>0.66666666666666663</v>
      </c>
      <c r="Y198" s="30">
        <f t="shared" si="294"/>
        <v>0.66666666666666663</v>
      </c>
      <c r="Z198" s="30">
        <f t="shared" si="294"/>
        <v>0.55555555555555558</v>
      </c>
      <c r="AA198" s="30">
        <f t="shared" si="294"/>
        <v>0.66666666666666663</v>
      </c>
      <c r="AB198" s="30">
        <f t="shared" si="294"/>
        <v>0</v>
      </c>
      <c r="AC198" s="30">
        <f t="shared" si="294"/>
        <v>0</v>
      </c>
      <c r="AD198" s="30">
        <f t="shared" si="294"/>
        <v>0</v>
      </c>
      <c r="AE198" s="30">
        <f t="shared" si="294"/>
        <v>0</v>
      </c>
      <c r="AF198" s="30">
        <f t="shared" si="294"/>
        <v>0</v>
      </c>
      <c r="AG198" s="30">
        <f t="shared" ref="AG198" si="295">AG197/18</f>
        <v>0</v>
      </c>
      <c r="AZ198" s="50" t="s">
        <v>166</v>
      </c>
    </row>
    <row r="199" spans="20:64" x14ac:dyDescent="0.35">
      <c r="AY199" s="35" t="s">
        <v>0</v>
      </c>
      <c r="AZ199" s="10" t="s">
        <v>25</v>
      </c>
      <c r="BA199" s="57" t="s">
        <v>165</v>
      </c>
      <c r="BB199" s="58"/>
      <c r="BC199" s="59"/>
      <c r="BD199" s="57"/>
      <c r="BE199" s="58"/>
      <c r="BF199" s="59"/>
      <c r="BG199" s="57"/>
      <c r="BH199" s="58"/>
      <c r="BI199" s="59"/>
      <c r="BJ199" s="57"/>
      <c r="BK199" s="58"/>
      <c r="BL199" s="59"/>
    </row>
    <row r="200" spans="20:64" x14ac:dyDescent="0.35">
      <c r="X200" s="50" t="s">
        <v>146</v>
      </c>
      <c r="AY200" s="36"/>
      <c r="AZ200" s="11" t="s">
        <v>26</v>
      </c>
      <c r="BA200" s="14">
        <v>2022</v>
      </c>
      <c r="BB200" s="14">
        <v>2023</v>
      </c>
      <c r="BC200" s="14">
        <v>2024</v>
      </c>
      <c r="BD200" s="14">
        <v>2022</v>
      </c>
      <c r="BE200" s="14">
        <v>2023</v>
      </c>
      <c r="BF200" s="14">
        <v>2024</v>
      </c>
      <c r="BG200" s="14">
        <v>2022</v>
      </c>
      <c r="BH200" s="14">
        <v>2023</v>
      </c>
      <c r="BI200" s="14">
        <v>2024</v>
      </c>
      <c r="BJ200" s="14">
        <v>2022</v>
      </c>
      <c r="BK200" s="14">
        <v>2023</v>
      </c>
      <c r="BL200" s="14">
        <v>2024</v>
      </c>
    </row>
    <row r="201" spans="20:64" ht="46.5" x14ac:dyDescent="0.35">
      <c r="AY201" s="12">
        <v>1</v>
      </c>
      <c r="AZ201" s="18" t="s">
        <v>49</v>
      </c>
      <c r="BA201" s="12">
        <v>1</v>
      </c>
      <c r="BB201" s="12">
        <v>1</v>
      </c>
      <c r="BC201" s="12">
        <v>1</v>
      </c>
      <c r="BD201" s="12"/>
      <c r="BE201" s="12"/>
      <c r="BF201" s="12"/>
      <c r="BG201" s="12"/>
      <c r="BH201" s="12"/>
      <c r="BI201" s="12"/>
      <c r="BJ201" s="12"/>
      <c r="BK201" s="12"/>
      <c r="BL201" s="12"/>
    </row>
    <row r="202" spans="20:64" ht="31" x14ac:dyDescent="0.35">
      <c r="T202" s="35" t="s">
        <v>0</v>
      </c>
      <c r="U202" s="10" t="s">
        <v>25</v>
      </c>
      <c r="V202" s="57" t="s">
        <v>130</v>
      </c>
      <c r="W202" s="58"/>
      <c r="X202" s="59"/>
      <c r="Y202" s="57" t="s">
        <v>131</v>
      </c>
      <c r="Z202" s="58"/>
      <c r="AA202" s="59"/>
      <c r="AB202" s="57" t="s">
        <v>147</v>
      </c>
      <c r="AC202" s="58"/>
      <c r="AD202" s="59"/>
      <c r="AE202" s="37"/>
      <c r="AF202" s="38"/>
      <c r="AG202" s="39"/>
      <c r="AY202" s="12">
        <v>2</v>
      </c>
      <c r="AZ202" s="13" t="s">
        <v>34</v>
      </c>
      <c r="BA202" s="25">
        <v>0</v>
      </c>
      <c r="BB202" s="25">
        <v>0</v>
      </c>
      <c r="BC202" s="25">
        <v>0</v>
      </c>
      <c r="BD202" s="25"/>
      <c r="BE202" s="25"/>
      <c r="BF202" s="25"/>
      <c r="BG202" s="25"/>
      <c r="BH202" s="25"/>
      <c r="BI202" s="25"/>
      <c r="BJ202" s="25"/>
      <c r="BK202" s="25"/>
      <c r="BL202" s="25"/>
    </row>
    <row r="203" spans="20:64" x14ac:dyDescent="0.35">
      <c r="T203" s="36"/>
      <c r="U203" s="11" t="s">
        <v>26</v>
      </c>
      <c r="V203" s="14">
        <v>2022</v>
      </c>
      <c r="W203" s="14">
        <v>2023</v>
      </c>
      <c r="X203" s="14">
        <v>2024</v>
      </c>
      <c r="Y203" s="14">
        <v>2022</v>
      </c>
      <c r="Z203" s="14">
        <v>2023</v>
      </c>
      <c r="AA203" s="14">
        <v>2024</v>
      </c>
      <c r="AB203" s="14">
        <v>2022</v>
      </c>
      <c r="AC203" s="14">
        <v>2023</v>
      </c>
      <c r="AD203" s="14">
        <v>2024</v>
      </c>
      <c r="AE203" s="14">
        <v>2022</v>
      </c>
      <c r="AF203" s="14">
        <v>2023</v>
      </c>
      <c r="AG203" s="14">
        <v>2024</v>
      </c>
      <c r="AY203" s="12"/>
      <c r="AZ203" s="19" t="s">
        <v>27</v>
      </c>
      <c r="BA203" s="20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2"/>
    </row>
    <row r="204" spans="20:64" ht="77.5" x14ac:dyDescent="0.35">
      <c r="T204" s="12">
        <v>1</v>
      </c>
      <c r="U204" s="18" t="s">
        <v>49</v>
      </c>
      <c r="V204" s="12">
        <v>0</v>
      </c>
      <c r="W204" s="12">
        <v>1</v>
      </c>
      <c r="X204" s="12">
        <v>1</v>
      </c>
      <c r="Y204" s="12">
        <v>1</v>
      </c>
      <c r="Z204" s="12">
        <v>1</v>
      </c>
      <c r="AA204" s="12">
        <v>1</v>
      </c>
      <c r="AB204" s="12">
        <v>1</v>
      </c>
      <c r="AC204" s="12">
        <v>1</v>
      </c>
      <c r="AD204" s="12">
        <v>1</v>
      </c>
      <c r="AE204" s="12"/>
      <c r="AF204" s="12"/>
      <c r="AG204" s="12"/>
      <c r="AY204" s="12">
        <v>3</v>
      </c>
      <c r="AZ204" s="13" t="s">
        <v>48</v>
      </c>
      <c r="BA204" s="24">
        <v>1</v>
      </c>
      <c r="BB204" s="24">
        <v>1</v>
      </c>
      <c r="BC204" s="24">
        <v>1</v>
      </c>
      <c r="BD204" s="24"/>
      <c r="BE204" s="24"/>
      <c r="BF204" s="24"/>
      <c r="BG204" s="24"/>
      <c r="BH204" s="24"/>
      <c r="BI204" s="24"/>
      <c r="BJ204" s="24"/>
      <c r="BK204" s="24"/>
      <c r="BL204" s="24"/>
    </row>
    <row r="205" spans="20:64" ht="46.5" x14ac:dyDescent="0.35">
      <c r="T205" s="12">
        <v>2</v>
      </c>
      <c r="U205" s="13" t="s">
        <v>34</v>
      </c>
      <c r="V205" s="25">
        <v>0</v>
      </c>
      <c r="W205" s="25">
        <v>1</v>
      </c>
      <c r="X205" s="25">
        <v>0</v>
      </c>
      <c r="Y205" s="25">
        <v>0</v>
      </c>
      <c r="Z205" s="25">
        <v>1</v>
      </c>
      <c r="AA205" s="25">
        <v>1</v>
      </c>
      <c r="AB205" s="25">
        <v>1</v>
      </c>
      <c r="AC205" s="25">
        <v>1</v>
      </c>
      <c r="AD205" s="25">
        <v>1</v>
      </c>
      <c r="AE205" s="25"/>
      <c r="AF205" s="25"/>
      <c r="AG205" s="25"/>
      <c r="AY205" s="12">
        <v>4</v>
      </c>
      <c r="AZ205" s="13" t="s">
        <v>35</v>
      </c>
      <c r="BA205" s="12">
        <v>0</v>
      </c>
      <c r="BB205" s="12">
        <v>0</v>
      </c>
      <c r="BC205" s="12">
        <v>0</v>
      </c>
      <c r="BD205" s="12"/>
      <c r="BE205" s="12"/>
      <c r="BF205" s="12"/>
      <c r="BG205" s="12"/>
      <c r="BH205" s="12"/>
      <c r="BI205" s="12"/>
      <c r="BJ205" s="12"/>
      <c r="BK205" s="12"/>
      <c r="BL205" s="12"/>
    </row>
    <row r="206" spans="20:64" ht="31" x14ac:dyDescent="0.35">
      <c r="T206" s="12"/>
      <c r="U206" s="19" t="s">
        <v>27</v>
      </c>
      <c r="V206" s="20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2"/>
      <c r="AY206" s="12">
        <v>5</v>
      </c>
      <c r="AZ206" s="13" t="s">
        <v>36</v>
      </c>
      <c r="BA206" s="12">
        <v>1</v>
      </c>
      <c r="BB206" s="12">
        <v>1</v>
      </c>
      <c r="BC206" s="12">
        <v>1</v>
      </c>
      <c r="BD206" s="12"/>
      <c r="BE206" s="12"/>
      <c r="BF206" s="12"/>
      <c r="BG206" s="12"/>
      <c r="BH206" s="12"/>
      <c r="BI206" s="12"/>
      <c r="BJ206" s="12"/>
      <c r="BK206" s="12"/>
      <c r="BL206" s="12"/>
    </row>
    <row r="207" spans="20:64" ht="62" x14ac:dyDescent="0.35">
      <c r="T207" s="12">
        <v>3</v>
      </c>
      <c r="U207" s="13" t="s">
        <v>48</v>
      </c>
      <c r="V207" s="24">
        <v>1</v>
      </c>
      <c r="W207" s="24">
        <v>1</v>
      </c>
      <c r="X207" s="24">
        <v>1</v>
      </c>
      <c r="Y207" s="24">
        <v>1</v>
      </c>
      <c r="Z207" s="24">
        <v>1</v>
      </c>
      <c r="AA207" s="24">
        <v>1</v>
      </c>
      <c r="AB207" s="24">
        <v>1</v>
      </c>
      <c r="AC207" s="24">
        <v>1</v>
      </c>
      <c r="AD207" s="24">
        <v>1</v>
      </c>
      <c r="AE207" s="24"/>
      <c r="AF207" s="24"/>
      <c r="AG207" s="24"/>
      <c r="AY207" s="12">
        <v>6</v>
      </c>
      <c r="AZ207" s="13" t="s">
        <v>37</v>
      </c>
      <c r="BA207" s="12">
        <v>1</v>
      </c>
      <c r="BB207" s="12">
        <v>1</v>
      </c>
      <c r="BC207" s="12">
        <v>1</v>
      </c>
      <c r="BD207" s="12"/>
      <c r="BE207" s="12"/>
      <c r="BF207" s="12"/>
      <c r="BG207" s="12"/>
      <c r="BH207" s="12"/>
      <c r="BI207" s="12"/>
      <c r="BJ207" s="12"/>
      <c r="BK207" s="12"/>
      <c r="BL207" s="12"/>
    </row>
    <row r="208" spans="20:64" ht="62" x14ac:dyDescent="0.35">
      <c r="T208" s="12">
        <v>4</v>
      </c>
      <c r="U208" s="13" t="s">
        <v>35</v>
      </c>
      <c r="V208" s="12">
        <v>1</v>
      </c>
      <c r="W208" s="12">
        <v>1</v>
      </c>
      <c r="X208" s="12">
        <v>1</v>
      </c>
      <c r="Y208" s="12">
        <v>1</v>
      </c>
      <c r="Z208" s="12">
        <v>1</v>
      </c>
      <c r="AA208" s="12">
        <v>1</v>
      </c>
      <c r="AB208" s="12">
        <v>0</v>
      </c>
      <c r="AC208" s="12">
        <v>0</v>
      </c>
      <c r="AD208" s="12">
        <v>0</v>
      </c>
      <c r="AE208" s="12"/>
      <c r="AF208" s="12"/>
      <c r="AG208" s="12"/>
      <c r="AY208" s="12">
        <v>7</v>
      </c>
      <c r="AZ208" s="13" t="s">
        <v>38</v>
      </c>
      <c r="BA208" s="12">
        <v>1</v>
      </c>
      <c r="BB208" s="12">
        <v>1</v>
      </c>
      <c r="BC208" s="12">
        <v>1</v>
      </c>
      <c r="BD208" s="12"/>
      <c r="BE208" s="12"/>
      <c r="BF208" s="12"/>
      <c r="BG208" s="12"/>
      <c r="BH208" s="12"/>
      <c r="BI208" s="12"/>
      <c r="BJ208" s="12"/>
      <c r="BK208" s="12"/>
      <c r="BL208" s="12"/>
    </row>
    <row r="209" spans="20:64" ht="31" x14ac:dyDescent="0.35">
      <c r="T209" s="12">
        <v>5</v>
      </c>
      <c r="U209" s="13" t="s">
        <v>36</v>
      </c>
      <c r="V209" s="12">
        <v>1</v>
      </c>
      <c r="W209" s="12">
        <v>1</v>
      </c>
      <c r="X209" s="12">
        <v>1</v>
      </c>
      <c r="Y209" s="12">
        <v>1</v>
      </c>
      <c r="Z209" s="12">
        <v>1</v>
      </c>
      <c r="AA209" s="12">
        <v>1</v>
      </c>
      <c r="AB209" s="12">
        <v>1</v>
      </c>
      <c r="AC209" s="12">
        <v>1</v>
      </c>
      <c r="AD209" s="12">
        <v>1</v>
      </c>
      <c r="AE209" s="12"/>
      <c r="AF209" s="12"/>
      <c r="AG209" s="12"/>
      <c r="AY209" s="12">
        <v>8</v>
      </c>
      <c r="AZ209" s="13" t="s">
        <v>39</v>
      </c>
      <c r="BA209" s="12">
        <v>1</v>
      </c>
      <c r="BB209" s="12">
        <v>1</v>
      </c>
      <c r="BC209" s="12">
        <v>1</v>
      </c>
      <c r="BD209" s="12"/>
      <c r="BE209" s="12"/>
      <c r="BF209" s="12"/>
      <c r="BG209" s="12"/>
      <c r="BH209" s="12"/>
      <c r="BI209" s="12"/>
      <c r="BJ209" s="12"/>
      <c r="BK209" s="12"/>
      <c r="BL209" s="12"/>
    </row>
    <row r="210" spans="20:64" ht="31" x14ac:dyDescent="0.35">
      <c r="T210" s="12">
        <v>6</v>
      </c>
      <c r="U210" s="13" t="s">
        <v>37</v>
      </c>
      <c r="V210" s="12">
        <v>1</v>
      </c>
      <c r="W210" s="12">
        <v>1</v>
      </c>
      <c r="X210" s="12">
        <v>1</v>
      </c>
      <c r="Y210" s="12">
        <v>1</v>
      </c>
      <c r="Z210" s="12">
        <v>1</v>
      </c>
      <c r="AA210" s="12">
        <v>1</v>
      </c>
      <c r="AB210" s="12">
        <v>1</v>
      </c>
      <c r="AC210" s="12">
        <v>1</v>
      </c>
      <c r="AD210" s="12">
        <v>1</v>
      </c>
      <c r="AE210" s="12"/>
      <c r="AF210" s="12"/>
      <c r="AG210" s="12"/>
      <c r="AY210" s="12">
        <v>9</v>
      </c>
      <c r="AZ210" s="13" t="s">
        <v>40</v>
      </c>
      <c r="BA210" s="25">
        <v>1</v>
      </c>
      <c r="BB210" s="25">
        <v>1</v>
      </c>
      <c r="BC210" s="25">
        <v>1</v>
      </c>
      <c r="BD210" s="25"/>
      <c r="BE210" s="25"/>
      <c r="BF210" s="25"/>
      <c r="BG210" s="25"/>
      <c r="BH210" s="25"/>
      <c r="BI210" s="25"/>
      <c r="BJ210" s="25"/>
      <c r="BK210" s="25"/>
      <c r="BL210" s="25"/>
    </row>
    <row r="211" spans="20:64" ht="46.5" x14ac:dyDescent="0.35">
      <c r="T211" s="12">
        <v>7</v>
      </c>
      <c r="U211" s="13" t="s">
        <v>38</v>
      </c>
      <c r="V211" s="12">
        <v>1</v>
      </c>
      <c r="W211" s="12">
        <v>1</v>
      </c>
      <c r="X211" s="12">
        <v>1</v>
      </c>
      <c r="Y211" s="12">
        <v>1</v>
      </c>
      <c r="Z211" s="12">
        <v>1</v>
      </c>
      <c r="AA211" s="12">
        <v>1</v>
      </c>
      <c r="AB211" s="12">
        <v>1</v>
      </c>
      <c r="AC211" s="12">
        <v>1</v>
      </c>
      <c r="AD211" s="12">
        <v>1</v>
      </c>
      <c r="AE211" s="12"/>
      <c r="AF211" s="12"/>
      <c r="AG211" s="12"/>
      <c r="AY211" s="12"/>
      <c r="AZ211" s="23" t="s">
        <v>28</v>
      </c>
      <c r="BA211" s="20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2"/>
    </row>
    <row r="212" spans="20:64" ht="31" x14ac:dyDescent="0.35">
      <c r="T212" s="12">
        <v>8</v>
      </c>
      <c r="U212" s="13" t="s">
        <v>39</v>
      </c>
      <c r="V212" s="12">
        <v>1</v>
      </c>
      <c r="W212" s="12">
        <v>1</v>
      </c>
      <c r="X212" s="12">
        <v>1</v>
      </c>
      <c r="Y212" s="12">
        <v>1</v>
      </c>
      <c r="Z212" s="12">
        <v>1</v>
      </c>
      <c r="AA212" s="12">
        <v>1</v>
      </c>
      <c r="AB212" s="12">
        <v>1</v>
      </c>
      <c r="AC212" s="12">
        <v>1</v>
      </c>
      <c r="AD212" s="12">
        <v>1</v>
      </c>
      <c r="AE212" s="12"/>
      <c r="AF212" s="12"/>
      <c r="AG212" s="12"/>
      <c r="AY212" s="12">
        <v>10</v>
      </c>
      <c r="AZ212" s="13" t="s">
        <v>41</v>
      </c>
      <c r="BA212" s="24">
        <v>1</v>
      </c>
      <c r="BB212" s="24">
        <v>1</v>
      </c>
      <c r="BC212" s="24">
        <v>1</v>
      </c>
      <c r="BD212" s="24"/>
      <c r="BE212" s="24"/>
      <c r="BF212" s="24"/>
      <c r="BG212" s="24"/>
      <c r="BH212" s="24"/>
      <c r="BI212" s="24"/>
      <c r="BJ212" s="24"/>
      <c r="BK212" s="24"/>
      <c r="BL212" s="24"/>
    </row>
    <row r="213" spans="20:64" ht="31" x14ac:dyDescent="0.35">
      <c r="T213" s="12">
        <v>9</v>
      </c>
      <c r="U213" s="13" t="s">
        <v>40</v>
      </c>
      <c r="V213" s="25">
        <v>1</v>
      </c>
      <c r="W213" s="25">
        <v>1</v>
      </c>
      <c r="X213" s="25">
        <v>1</v>
      </c>
      <c r="Y213" s="25">
        <v>1</v>
      </c>
      <c r="Z213" s="25">
        <v>1</v>
      </c>
      <c r="AA213" s="25">
        <v>1</v>
      </c>
      <c r="AB213" s="25">
        <v>1</v>
      </c>
      <c r="AC213" s="25">
        <v>1</v>
      </c>
      <c r="AD213" s="25">
        <v>1</v>
      </c>
      <c r="AE213" s="25"/>
      <c r="AF213" s="25"/>
      <c r="AG213" s="25"/>
      <c r="AY213" s="12">
        <v>11</v>
      </c>
      <c r="AZ213" s="13" t="s">
        <v>50</v>
      </c>
      <c r="BA213" s="12">
        <v>0</v>
      </c>
      <c r="BB213" s="12">
        <v>0</v>
      </c>
      <c r="BC213" s="12">
        <v>0</v>
      </c>
      <c r="BD213" s="12"/>
      <c r="BE213" s="12"/>
      <c r="BF213" s="12"/>
      <c r="BG213" s="12"/>
      <c r="BH213" s="12"/>
      <c r="BI213" s="12"/>
      <c r="BJ213" s="12"/>
      <c r="BK213" s="12"/>
      <c r="BL213" s="12"/>
    </row>
    <row r="214" spans="20:64" ht="23" customHeight="1" x14ac:dyDescent="0.35">
      <c r="T214" s="12"/>
      <c r="U214" s="23" t="s">
        <v>28</v>
      </c>
      <c r="V214" s="20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2"/>
      <c r="AY214" s="12">
        <v>12</v>
      </c>
      <c r="AZ214" s="13" t="s">
        <v>42</v>
      </c>
      <c r="BA214" s="25">
        <v>1</v>
      </c>
      <c r="BB214" s="25">
        <v>1</v>
      </c>
      <c r="BC214" s="25">
        <v>1</v>
      </c>
      <c r="BD214" s="25"/>
      <c r="BE214" s="25"/>
      <c r="BF214" s="25"/>
      <c r="BG214" s="25"/>
      <c r="BH214" s="25"/>
      <c r="BI214" s="25"/>
      <c r="BJ214" s="25"/>
      <c r="BK214" s="25"/>
      <c r="BL214" s="25"/>
    </row>
    <row r="215" spans="20:64" ht="31" x14ac:dyDescent="0.35">
      <c r="T215" s="12">
        <v>10</v>
      </c>
      <c r="U215" s="13" t="s">
        <v>41</v>
      </c>
      <c r="V215" s="24">
        <v>1</v>
      </c>
      <c r="W215" s="24">
        <v>1</v>
      </c>
      <c r="X215" s="24">
        <v>1</v>
      </c>
      <c r="Y215" s="24">
        <v>1</v>
      </c>
      <c r="Z215" s="24">
        <v>1</v>
      </c>
      <c r="AA215" s="24">
        <v>1</v>
      </c>
      <c r="AB215" s="24">
        <v>1</v>
      </c>
      <c r="AC215" s="24">
        <v>1</v>
      </c>
      <c r="AD215" s="24">
        <v>1</v>
      </c>
      <c r="AE215" s="24"/>
      <c r="AF215" s="24"/>
      <c r="AG215" s="24"/>
      <c r="AY215" s="12"/>
      <c r="AZ215" s="19" t="s">
        <v>29</v>
      </c>
      <c r="BA215" s="20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2"/>
    </row>
    <row r="216" spans="20:64" ht="46.5" x14ac:dyDescent="0.35">
      <c r="T216" s="12">
        <v>11</v>
      </c>
      <c r="U216" s="13" t="s">
        <v>50</v>
      </c>
      <c r="V216" s="12">
        <v>1</v>
      </c>
      <c r="W216" s="12">
        <v>1</v>
      </c>
      <c r="X216" s="12">
        <v>1</v>
      </c>
      <c r="Y216" s="12">
        <v>1</v>
      </c>
      <c r="Z216" s="12">
        <v>1</v>
      </c>
      <c r="AA216" s="12">
        <v>1</v>
      </c>
      <c r="AB216" s="12">
        <v>1</v>
      </c>
      <c r="AC216" s="12">
        <v>1</v>
      </c>
      <c r="AD216" s="12">
        <v>1</v>
      </c>
      <c r="AE216" s="12"/>
      <c r="AF216" s="12"/>
      <c r="AG216" s="12"/>
      <c r="AY216" s="12">
        <v>13</v>
      </c>
      <c r="AZ216" s="13" t="s">
        <v>43</v>
      </c>
      <c r="BA216" s="24">
        <v>1</v>
      </c>
      <c r="BB216" s="24">
        <v>1</v>
      </c>
      <c r="BC216" s="24">
        <v>1</v>
      </c>
      <c r="BD216" s="24"/>
      <c r="BE216" s="24"/>
      <c r="BF216" s="24"/>
      <c r="BG216" s="24"/>
      <c r="BH216" s="24"/>
      <c r="BI216" s="24"/>
      <c r="BJ216" s="24"/>
      <c r="BK216" s="24"/>
      <c r="BL216" s="24"/>
    </row>
    <row r="217" spans="20:64" ht="31" x14ac:dyDescent="0.35">
      <c r="T217" s="12">
        <v>12</v>
      </c>
      <c r="U217" s="13" t="s">
        <v>42</v>
      </c>
      <c r="V217" s="25">
        <v>1</v>
      </c>
      <c r="W217" s="25">
        <v>1</v>
      </c>
      <c r="X217" s="25">
        <v>1</v>
      </c>
      <c r="Y217" s="25">
        <v>1</v>
      </c>
      <c r="Z217" s="25">
        <v>1</v>
      </c>
      <c r="AA217" s="25">
        <v>1</v>
      </c>
      <c r="AB217" s="25">
        <v>1</v>
      </c>
      <c r="AC217" s="25">
        <v>1</v>
      </c>
      <c r="AD217" s="25">
        <v>1</v>
      </c>
      <c r="AE217" s="25"/>
      <c r="AF217" s="25"/>
      <c r="AG217" s="25"/>
      <c r="AY217" s="12">
        <v>14</v>
      </c>
      <c r="AZ217" s="13" t="s">
        <v>44</v>
      </c>
      <c r="BA217" s="12">
        <v>1</v>
      </c>
      <c r="BB217" s="12">
        <v>1</v>
      </c>
      <c r="BC217" s="12">
        <v>1</v>
      </c>
      <c r="BD217" s="12"/>
      <c r="BE217" s="12"/>
      <c r="BF217" s="12"/>
      <c r="BG217" s="12"/>
      <c r="BH217" s="12"/>
      <c r="BI217" s="12"/>
      <c r="BJ217" s="12"/>
      <c r="BK217" s="12"/>
      <c r="BL217" s="12"/>
    </row>
    <row r="218" spans="20:64" ht="46.5" x14ac:dyDescent="0.35">
      <c r="T218" s="12"/>
      <c r="U218" s="19" t="s">
        <v>29</v>
      </c>
      <c r="V218" s="20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2"/>
      <c r="AY218" s="12">
        <v>15</v>
      </c>
      <c r="AZ218" s="13" t="s">
        <v>46</v>
      </c>
      <c r="BA218" s="12">
        <v>1</v>
      </c>
      <c r="BB218" s="12">
        <v>1</v>
      </c>
      <c r="BC218" s="12">
        <v>1</v>
      </c>
      <c r="BD218" s="12"/>
      <c r="BE218" s="12"/>
      <c r="BF218" s="12"/>
      <c r="BG218" s="12"/>
      <c r="BH218" s="12"/>
      <c r="BI218" s="12"/>
      <c r="BJ218" s="12"/>
      <c r="BK218" s="12"/>
      <c r="BL218" s="12"/>
    </row>
    <row r="219" spans="20:64" ht="31" x14ac:dyDescent="0.35">
      <c r="T219" s="12">
        <v>13</v>
      </c>
      <c r="U219" s="13" t="s">
        <v>43</v>
      </c>
      <c r="V219" s="24">
        <v>1</v>
      </c>
      <c r="W219" s="24">
        <v>1</v>
      </c>
      <c r="X219" s="24">
        <v>1</v>
      </c>
      <c r="Y219" s="24">
        <v>1</v>
      </c>
      <c r="Z219" s="24">
        <v>1</v>
      </c>
      <c r="AA219" s="24">
        <v>1</v>
      </c>
      <c r="AB219" s="24">
        <v>1</v>
      </c>
      <c r="AC219" s="24">
        <v>1</v>
      </c>
      <c r="AD219" s="24">
        <v>1</v>
      </c>
      <c r="AE219" s="24"/>
      <c r="AF219" s="24"/>
      <c r="AG219" s="24"/>
      <c r="AY219" s="12">
        <v>16</v>
      </c>
      <c r="AZ219" s="13" t="s">
        <v>45</v>
      </c>
      <c r="BA219" s="25">
        <v>0</v>
      </c>
      <c r="BB219" s="25">
        <v>0</v>
      </c>
      <c r="BC219" s="25">
        <v>0</v>
      </c>
      <c r="BD219" s="25"/>
      <c r="BE219" s="25"/>
      <c r="BF219" s="25"/>
      <c r="BG219" s="25"/>
      <c r="BH219" s="25"/>
      <c r="BI219" s="25"/>
      <c r="BJ219" s="25"/>
      <c r="BK219" s="25"/>
      <c r="BL219" s="25"/>
    </row>
    <row r="220" spans="20:64" ht="46.5" x14ac:dyDescent="0.35">
      <c r="T220" s="12">
        <v>14</v>
      </c>
      <c r="U220" s="13" t="s">
        <v>44</v>
      </c>
      <c r="V220" s="12">
        <v>1</v>
      </c>
      <c r="W220" s="12">
        <v>1</v>
      </c>
      <c r="X220" s="12">
        <v>1</v>
      </c>
      <c r="Y220" s="12">
        <v>1</v>
      </c>
      <c r="Z220" s="12">
        <v>1</v>
      </c>
      <c r="AA220" s="12">
        <v>1</v>
      </c>
      <c r="AB220" s="12">
        <v>1</v>
      </c>
      <c r="AC220" s="12">
        <v>1</v>
      </c>
      <c r="AD220" s="12">
        <v>1</v>
      </c>
      <c r="AE220" s="12"/>
      <c r="AF220" s="12"/>
      <c r="AG220" s="12"/>
      <c r="AY220" s="12"/>
      <c r="AZ220" s="23" t="s">
        <v>30</v>
      </c>
      <c r="BA220" s="20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2"/>
    </row>
    <row r="221" spans="20:64" ht="62" x14ac:dyDescent="0.35">
      <c r="T221" s="12">
        <v>15</v>
      </c>
      <c r="U221" s="13" t="s">
        <v>46</v>
      </c>
      <c r="V221" s="12">
        <v>1</v>
      </c>
      <c r="W221" s="12">
        <v>1</v>
      </c>
      <c r="X221" s="12">
        <v>1</v>
      </c>
      <c r="Y221" s="12">
        <v>1</v>
      </c>
      <c r="Z221" s="12">
        <v>1</v>
      </c>
      <c r="AA221" s="12">
        <v>1</v>
      </c>
      <c r="AB221" s="12">
        <v>1</v>
      </c>
      <c r="AC221" s="12">
        <v>1</v>
      </c>
      <c r="AD221" s="12">
        <v>1</v>
      </c>
      <c r="AE221" s="12"/>
      <c r="AF221" s="12"/>
      <c r="AG221" s="12"/>
      <c r="AY221" s="12">
        <v>17</v>
      </c>
      <c r="AZ221" s="13" t="s">
        <v>47</v>
      </c>
      <c r="BA221" s="24">
        <v>0</v>
      </c>
      <c r="BB221" s="24">
        <v>0</v>
      </c>
      <c r="BC221" s="24">
        <v>0</v>
      </c>
      <c r="BD221" s="24"/>
      <c r="BE221" s="24"/>
      <c r="BF221" s="24"/>
      <c r="BG221" s="24"/>
      <c r="BH221" s="24"/>
      <c r="BI221" s="24"/>
      <c r="BJ221" s="24"/>
      <c r="BK221" s="24"/>
      <c r="BL221" s="24"/>
    </row>
    <row r="222" spans="20:64" ht="62" x14ac:dyDescent="0.35">
      <c r="T222" s="12">
        <v>16</v>
      </c>
      <c r="U222" s="13" t="s">
        <v>45</v>
      </c>
      <c r="V222" s="25">
        <v>0</v>
      </c>
      <c r="W222" s="25">
        <v>0</v>
      </c>
      <c r="X222" s="25">
        <v>0</v>
      </c>
      <c r="Y222" s="25">
        <v>0</v>
      </c>
      <c r="Z222" s="25">
        <v>0</v>
      </c>
      <c r="AA222" s="25">
        <v>0</v>
      </c>
      <c r="AB222" s="25">
        <v>0</v>
      </c>
      <c r="AC222" s="25">
        <v>0</v>
      </c>
      <c r="AD222" s="25">
        <v>0</v>
      </c>
      <c r="AE222" s="25"/>
      <c r="AF222" s="25"/>
      <c r="AG222" s="25"/>
      <c r="AY222" s="12">
        <v>18</v>
      </c>
      <c r="AZ222" s="13" t="s">
        <v>33</v>
      </c>
      <c r="BA222" s="25">
        <v>0</v>
      </c>
      <c r="BB222" s="25">
        <v>0</v>
      </c>
      <c r="BC222" s="25">
        <v>0</v>
      </c>
      <c r="BD222" s="25"/>
      <c r="BE222" s="25"/>
      <c r="BF222" s="25"/>
      <c r="BG222" s="25"/>
      <c r="BH222" s="25"/>
      <c r="BI222" s="25"/>
      <c r="BJ222" s="25"/>
      <c r="BK222" s="25"/>
      <c r="BL222" s="25"/>
    </row>
    <row r="223" spans="20:64" x14ac:dyDescent="0.35">
      <c r="T223" s="12"/>
      <c r="U223" s="23" t="s">
        <v>30</v>
      </c>
      <c r="V223" s="20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2"/>
      <c r="AY223" s="15"/>
      <c r="AZ223" s="37" t="s">
        <v>31</v>
      </c>
      <c r="BA223" s="17">
        <f t="shared" ref="BA223:BC223" si="296">BA201+BA202+BA204+BA205+BA206+BA207+BA208+BA209+BA210+BA212+BA213+BA214+BA216+BA217+BA218+BA219+BA221+BA222</f>
        <v>12</v>
      </c>
      <c r="BB223" s="17">
        <f t="shared" si="296"/>
        <v>12</v>
      </c>
      <c r="BC223" s="17">
        <f t="shared" si="296"/>
        <v>12</v>
      </c>
      <c r="BD223" s="17">
        <f>BD201+BD202+BD204+BD205+BD206+BD207+BD208+BD209+BD210+BD212+BD213+BD214+BD216+BD217+BD218+BD219+BD221+BD222</f>
        <v>0</v>
      </c>
      <c r="BE223" s="17">
        <f>BE201+BE202+BE204+BE205+BE206+BE207+BE208+BE209+BE210+BE212+BE213+BE214+BE216+BE217+BE218+BE219+BE221+BE222</f>
        <v>0</v>
      </c>
      <c r="BF223" s="17">
        <f t="shared" ref="BF223:BL223" si="297">BF201+BF202+BF204+BF205+BF206+BF207+BF208+BF209+BF210+BF212+BF213+BF214+BF216+BF217+BF218+BF219+BF221+BF222</f>
        <v>0</v>
      </c>
      <c r="BG223" s="17">
        <f t="shared" si="297"/>
        <v>0</v>
      </c>
      <c r="BH223" s="17">
        <f t="shared" si="297"/>
        <v>0</v>
      </c>
      <c r="BI223" s="17">
        <f t="shared" si="297"/>
        <v>0</v>
      </c>
      <c r="BJ223" s="17">
        <f t="shared" si="297"/>
        <v>0</v>
      </c>
      <c r="BK223" s="17">
        <f t="shared" si="297"/>
        <v>0</v>
      </c>
      <c r="BL223" s="17">
        <f t="shared" si="297"/>
        <v>0</v>
      </c>
    </row>
    <row r="224" spans="20:64" ht="75" x14ac:dyDescent="0.35">
      <c r="T224" s="12">
        <v>17</v>
      </c>
      <c r="U224" s="13" t="s">
        <v>47</v>
      </c>
      <c r="V224" s="24">
        <v>0</v>
      </c>
      <c r="W224" s="24">
        <v>0</v>
      </c>
      <c r="X224" s="24">
        <v>0</v>
      </c>
      <c r="Y224" s="24">
        <v>0</v>
      </c>
      <c r="Z224" s="24">
        <v>0</v>
      </c>
      <c r="AA224" s="24">
        <v>0</v>
      </c>
      <c r="AB224" s="24">
        <v>0</v>
      </c>
      <c r="AC224" s="24">
        <v>0</v>
      </c>
      <c r="AD224" s="24">
        <v>0</v>
      </c>
      <c r="AE224" s="24"/>
      <c r="AF224" s="24"/>
      <c r="AG224" s="24"/>
      <c r="AY224" s="16" t="s">
        <v>32</v>
      </c>
      <c r="AZ224" s="17"/>
      <c r="BA224" s="30">
        <f t="shared" ref="BA224:BC224" si="298">BA223/18</f>
        <v>0.66666666666666663</v>
      </c>
      <c r="BB224" s="30">
        <f t="shared" si="298"/>
        <v>0.66666666666666663</v>
      </c>
      <c r="BC224" s="30">
        <f t="shared" si="298"/>
        <v>0.66666666666666663</v>
      </c>
      <c r="BD224" s="30">
        <f>BD223/18</f>
        <v>0</v>
      </c>
      <c r="BE224" s="30">
        <f t="shared" ref="BE224:BL224" si="299">BE223/18</f>
        <v>0</v>
      </c>
      <c r="BF224" s="30">
        <f t="shared" si="299"/>
        <v>0</v>
      </c>
      <c r="BG224" s="30">
        <f t="shared" si="299"/>
        <v>0</v>
      </c>
      <c r="BH224" s="30">
        <f t="shared" si="299"/>
        <v>0</v>
      </c>
      <c r="BI224" s="30">
        <f t="shared" si="299"/>
        <v>0</v>
      </c>
      <c r="BJ224" s="30">
        <f t="shared" si="299"/>
        <v>0</v>
      </c>
      <c r="BK224" s="30">
        <f t="shared" si="299"/>
        <v>0</v>
      </c>
      <c r="BL224" s="30">
        <f t="shared" si="299"/>
        <v>0</v>
      </c>
    </row>
    <row r="225" spans="20:33" ht="77.5" x14ac:dyDescent="0.35">
      <c r="T225" s="12">
        <v>18</v>
      </c>
      <c r="U225" s="13" t="s">
        <v>33</v>
      </c>
      <c r="V225" s="25">
        <v>0</v>
      </c>
      <c r="W225" s="25">
        <v>0</v>
      </c>
      <c r="X225" s="25">
        <v>0</v>
      </c>
      <c r="Y225" s="25">
        <v>0</v>
      </c>
      <c r="Z225" s="25">
        <v>0</v>
      </c>
      <c r="AA225" s="25">
        <v>0</v>
      </c>
      <c r="AB225" s="25">
        <v>0</v>
      </c>
      <c r="AC225" s="25">
        <v>0</v>
      </c>
      <c r="AD225" s="25">
        <v>0</v>
      </c>
      <c r="AE225" s="25"/>
      <c r="AF225" s="25"/>
      <c r="AG225" s="25"/>
    </row>
    <row r="226" spans="20:33" x14ac:dyDescent="0.35">
      <c r="T226" s="15"/>
      <c r="U226" s="37" t="s">
        <v>31</v>
      </c>
      <c r="V226" s="17">
        <f t="shared" ref="V226:AF226" si="300">V204+V205+V207+V208+V209+V210+V211+V212+V213+V215+V216+V217+V219+V220+V221+V222+V224+V225</f>
        <v>13</v>
      </c>
      <c r="W226" s="17">
        <f t="shared" si="300"/>
        <v>15</v>
      </c>
      <c r="X226" s="17">
        <f t="shared" si="300"/>
        <v>14</v>
      </c>
      <c r="Y226" s="17">
        <f t="shared" si="300"/>
        <v>14</v>
      </c>
      <c r="Z226" s="17">
        <f t="shared" si="300"/>
        <v>15</v>
      </c>
      <c r="AA226" s="17">
        <f t="shared" si="300"/>
        <v>15</v>
      </c>
      <c r="AB226" s="17">
        <f t="shared" si="300"/>
        <v>14</v>
      </c>
      <c r="AC226" s="17">
        <f t="shared" si="300"/>
        <v>14</v>
      </c>
      <c r="AD226" s="17">
        <f t="shared" si="300"/>
        <v>14</v>
      </c>
      <c r="AE226" s="17">
        <f t="shared" si="300"/>
        <v>0</v>
      </c>
      <c r="AF226" s="17">
        <f t="shared" si="300"/>
        <v>0</v>
      </c>
      <c r="AG226" s="17">
        <f t="shared" ref="AG226" si="301">AG204+AG205+AG207+AG208+AG209+AG210+AG211+AG212+AG213+AG215+AG216+AG217+AG219+AG220+AG221+AG222+AG224+AG225</f>
        <v>0</v>
      </c>
    </row>
    <row r="227" spans="20:33" ht="75" x14ac:dyDescent="0.35">
      <c r="T227" s="16" t="s">
        <v>32</v>
      </c>
      <c r="U227" s="17"/>
      <c r="V227" s="30">
        <f t="shared" ref="V227:AF227" si="302">V226/18</f>
        <v>0.72222222222222221</v>
      </c>
      <c r="W227" s="30">
        <f t="shared" si="302"/>
        <v>0.83333333333333337</v>
      </c>
      <c r="X227" s="30">
        <f t="shared" si="302"/>
        <v>0.77777777777777779</v>
      </c>
      <c r="Y227" s="30">
        <f t="shared" si="302"/>
        <v>0.77777777777777779</v>
      </c>
      <c r="Z227" s="30">
        <f t="shared" si="302"/>
        <v>0.83333333333333337</v>
      </c>
      <c r="AA227" s="30">
        <f t="shared" si="302"/>
        <v>0.83333333333333337</v>
      </c>
      <c r="AB227" s="30">
        <f t="shared" si="302"/>
        <v>0.77777777777777779</v>
      </c>
      <c r="AC227" s="30">
        <f t="shared" si="302"/>
        <v>0.77777777777777779</v>
      </c>
      <c r="AD227" s="30">
        <f t="shared" si="302"/>
        <v>0.77777777777777779</v>
      </c>
      <c r="AE227" s="30">
        <f t="shared" si="302"/>
        <v>0</v>
      </c>
      <c r="AF227" s="30">
        <f t="shared" si="302"/>
        <v>0</v>
      </c>
      <c r="AG227" s="30">
        <f t="shared" ref="AG227" si="303">AG226/18</f>
        <v>0</v>
      </c>
    </row>
    <row r="230" spans="20:33" x14ac:dyDescent="0.35">
      <c r="X230" s="50" t="s">
        <v>148</v>
      </c>
    </row>
    <row r="232" spans="20:33" x14ac:dyDescent="0.35">
      <c r="T232" s="35" t="s">
        <v>0</v>
      </c>
      <c r="U232" s="10" t="s">
        <v>25</v>
      </c>
      <c r="V232" s="57" t="s">
        <v>133</v>
      </c>
      <c r="W232" s="58"/>
      <c r="X232" s="59"/>
      <c r="Y232" s="57"/>
      <c r="Z232" s="58"/>
      <c r="AA232" s="59"/>
      <c r="AB232" s="57"/>
      <c r="AC232" s="58"/>
      <c r="AD232" s="59"/>
      <c r="AE232" s="37"/>
      <c r="AF232" s="38"/>
      <c r="AG232" s="39"/>
    </row>
    <row r="233" spans="20:33" x14ac:dyDescent="0.35">
      <c r="T233" s="36"/>
      <c r="U233" s="11" t="s">
        <v>26</v>
      </c>
      <c r="V233" s="14">
        <v>2022</v>
      </c>
      <c r="W233" s="14">
        <v>2023</v>
      </c>
      <c r="X233" s="14">
        <v>2024</v>
      </c>
      <c r="Y233" s="14">
        <v>2022</v>
      </c>
      <c r="Z233" s="14">
        <v>2023</v>
      </c>
      <c r="AA233" s="14">
        <v>2024</v>
      </c>
      <c r="AB233" s="14">
        <v>2022</v>
      </c>
      <c r="AC233" s="14">
        <v>2023</v>
      </c>
      <c r="AD233" s="14">
        <v>2024</v>
      </c>
      <c r="AE233" s="14">
        <v>2022</v>
      </c>
      <c r="AF233" s="14">
        <v>2023</v>
      </c>
      <c r="AG233" s="14">
        <v>2024</v>
      </c>
    </row>
    <row r="234" spans="20:33" ht="77.5" x14ac:dyDescent="0.35">
      <c r="T234" s="12">
        <v>1</v>
      </c>
      <c r="U234" s="18" t="s">
        <v>49</v>
      </c>
      <c r="V234" s="12">
        <v>0</v>
      </c>
      <c r="W234" s="12">
        <v>0</v>
      </c>
      <c r="X234" s="12">
        <v>1</v>
      </c>
      <c r="Y234" s="12"/>
      <c r="Z234" s="12"/>
      <c r="AA234" s="12"/>
      <c r="AB234" s="12"/>
      <c r="AC234" s="12"/>
      <c r="AD234" s="12"/>
      <c r="AE234" s="12"/>
      <c r="AF234" s="12"/>
      <c r="AG234" s="12"/>
    </row>
    <row r="235" spans="20:33" ht="46.5" x14ac:dyDescent="0.35">
      <c r="T235" s="12">
        <v>2</v>
      </c>
      <c r="U235" s="13" t="s">
        <v>34</v>
      </c>
      <c r="V235" s="25">
        <v>0</v>
      </c>
      <c r="W235" s="25">
        <v>0</v>
      </c>
      <c r="X235" s="25">
        <v>1</v>
      </c>
      <c r="Y235" s="25"/>
      <c r="Z235" s="25"/>
      <c r="AA235" s="25"/>
      <c r="AB235" s="25"/>
      <c r="AC235" s="25"/>
      <c r="AD235" s="25"/>
      <c r="AE235" s="25"/>
      <c r="AF235" s="25"/>
      <c r="AG235" s="25"/>
    </row>
    <row r="236" spans="20:33" ht="30.5" x14ac:dyDescent="0.35">
      <c r="T236" s="12"/>
      <c r="U236" s="19" t="s">
        <v>27</v>
      </c>
      <c r="V236" s="20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2"/>
    </row>
    <row r="237" spans="20:33" ht="62" x14ac:dyDescent="0.35">
      <c r="T237" s="12">
        <v>3</v>
      </c>
      <c r="U237" s="13" t="s">
        <v>48</v>
      </c>
      <c r="V237" s="24">
        <v>0</v>
      </c>
      <c r="W237" s="24">
        <v>0</v>
      </c>
      <c r="X237" s="24">
        <v>0</v>
      </c>
      <c r="Y237" s="24"/>
      <c r="Z237" s="24"/>
      <c r="AA237" s="24"/>
      <c r="AB237" s="24"/>
      <c r="AC237" s="24"/>
      <c r="AD237" s="24"/>
      <c r="AE237" s="24"/>
      <c r="AF237" s="24"/>
      <c r="AG237" s="24"/>
    </row>
    <row r="238" spans="20:33" ht="62" x14ac:dyDescent="0.35">
      <c r="T238" s="12">
        <v>4</v>
      </c>
      <c r="U238" s="13" t="s">
        <v>35</v>
      </c>
      <c r="V238" s="12">
        <v>1</v>
      </c>
      <c r="W238" s="12">
        <v>1</v>
      </c>
      <c r="X238" s="12">
        <v>1</v>
      </c>
      <c r="Y238" s="12"/>
      <c r="Z238" s="12"/>
      <c r="AA238" s="12"/>
      <c r="AB238" s="12"/>
      <c r="AC238" s="12"/>
      <c r="AD238" s="12"/>
      <c r="AE238" s="12"/>
      <c r="AF238" s="12"/>
      <c r="AG238" s="12"/>
    </row>
    <row r="239" spans="20:33" ht="31" x14ac:dyDescent="0.35">
      <c r="T239" s="12">
        <v>5</v>
      </c>
      <c r="U239" s="13" t="s">
        <v>36</v>
      </c>
      <c r="V239" s="12">
        <v>1</v>
      </c>
      <c r="W239" s="12">
        <v>1</v>
      </c>
      <c r="X239" s="12">
        <v>1</v>
      </c>
      <c r="Y239" s="12"/>
      <c r="Z239" s="12"/>
      <c r="AA239" s="12"/>
      <c r="AB239" s="12"/>
      <c r="AC239" s="12"/>
      <c r="AD239" s="12"/>
      <c r="AE239" s="12"/>
      <c r="AF239" s="12"/>
      <c r="AG239" s="12"/>
    </row>
    <row r="240" spans="20:33" ht="31" x14ac:dyDescent="0.35">
      <c r="T240" s="12">
        <v>6</v>
      </c>
      <c r="U240" s="13" t="s">
        <v>37</v>
      </c>
      <c r="V240" s="12">
        <v>1</v>
      </c>
      <c r="W240" s="12">
        <v>1</v>
      </c>
      <c r="X240" s="12">
        <v>1</v>
      </c>
      <c r="Y240" s="12"/>
      <c r="Z240" s="12"/>
      <c r="AA240" s="12"/>
      <c r="AB240" s="12"/>
      <c r="AC240" s="12"/>
      <c r="AD240" s="12"/>
      <c r="AE240" s="12"/>
      <c r="AF240" s="12"/>
      <c r="AG240" s="12"/>
    </row>
    <row r="241" spans="20:33" ht="46.5" x14ac:dyDescent="0.35">
      <c r="T241" s="12">
        <v>7</v>
      </c>
      <c r="U241" s="13" t="s">
        <v>38</v>
      </c>
      <c r="V241" s="12">
        <v>1</v>
      </c>
      <c r="W241" s="12">
        <v>1</v>
      </c>
      <c r="X241" s="12">
        <v>1</v>
      </c>
      <c r="Y241" s="12"/>
      <c r="Z241" s="12"/>
      <c r="AA241" s="12"/>
      <c r="AB241" s="12"/>
      <c r="AC241" s="12"/>
      <c r="AD241" s="12"/>
      <c r="AE241" s="12"/>
      <c r="AF241" s="12"/>
      <c r="AG241" s="12"/>
    </row>
    <row r="242" spans="20:33" ht="31" x14ac:dyDescent="0.35">
      <c r="T242" s="12">
        <v>8</v>
      </c>
      <c r="U242" s="13" t="s">
        <v>39</v>
      </c>
      <c r="V242" s="12">
        <v>1</v>
      </c>
      <c r="W242" s="12">
        <v>1</v>
      </c>
      <c r="X242" s="12">
        <v>1</v>
      </c>
      <c r="Y242" s="12"/>
      <c r="Z242" s="12"/>
      <c r="AA242" s="12"/>
      <c r="AB242" s="12"/>
      <c r="AC242" s="12"/>
      <c r="AD242" s="12"/>
      <c r="AE242" s="12"/>
      <c r="AF242" s="12"/>
      <c r="AG242" s="12"/>
    </row>
    <row r="243" spans="20:33" ht="31" x14ac:dyDescent="0.35">
      <c r="T243" s="12">
        <v>9</v>
      </c>
      <c r="U243" s="13" t="s">
        <v>40</v>
      </c>
      <c r="V243" s="25">
        <v>1</v>
      </c>
      <c r="W243" s="25">
        <v>1</v>
      </c>
      <c r="X243" s="25">
        <v>1</v>
      </c>
      <c r="Y243" s="25"/>
      <c r="Z243" s="25"/>
      <c r="AA243" s="25"/>
      <c r="AB243" s="25"/>
      <c r="AC243" s="25"/>
      <c r="AD243" s="25"/>
      <c r="AE243" s="25"/>
      <c r="AF243" s="25"/>
      <c r="AG243" s="25"/>
    </row>
    <row r="244" spans="20:33" x14ac:dyDescent="0.35">
      <c r="T244" s="12"/>
      <c r="U244" s="23" t="s">
        <v>28</v>
      </c>
      <c r="V244" s="20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2"/>
    </row>
    <row r="245" spans="20:33" ht="31" x14ac:dyDescent="0.35">
      <c r="T245" s="12">
        <v>10</v>
      </c>
      <c r="U245" s="13" t="s">
        <v>41</v>
      </c>
      <c r="V245" s="24">
        <v>1</v>
      </c>
      <c r="W245" s="24">
        <v>1</v>
      </c>
      <c r="X245" s="24">
        <v>1</v>
      </c>
      <c r="Y245" s="24"/>
      <c r="Z245" s="24"/>
      <c r="AA245" s="24"/>
      <c r="AB245" s="24"/>
      <c r="AC245" s="24"/>
      <c r="AD245" s="24"/>
      <c r="AE245" s="24"/>
      <c r="AF245" s="24"/>
      <c r="AG245" s="24"/>
    </row>
    <row r="246" spans="20:33" ht="46.5" x14ac:dyDescent="0.35">
      <c r="T246" s="12">
        <v>11</v>
      </c>
      <c r="U246" s="13" t="s">
        <v>50</v>
      </c>
      <c r="V246" s="12">
        <v>0</v>
      </c>
      <c r="W246" s="12">
        <v>1</v>
      </c>
      <c r="X246" s="12">
        <v>1</v>
      </c>
      <c r="Y246" s="12"/>
      <c r="Z246" s="12"/>
      <c r="AA246" s="12"/>
      <c r="AB246" s="12"/>
      <c r="AC246" s="12"/>
      <c r="AD246" s="12"/>
      <c r="AE246" s="12"/>
      <c r="AF246" s="12"/>
      <c r="AG246" s="12"/>
    </row>
    <row r="247" spans="20:33" ht="31" x14ac:dyDescent="0.35">
      <c r="T247" s="12">
        <v>12</v>
      </c>
      <c r="U247" s="13" t="s">
        <v>42</v>
      </c>
      <c r="V247" s="25">
        <v>1</v>
      </c>
      <c r="W247" s="25">
        <v>1</v>
      </c>
      <c r="X247" s="25">
        <v>1</v>
      </c>
      <c r="Y247" s="25"/>
      <c r="Z247" s="25"/>
      <c r="AA247" s="25"/>
      <c r="AB247" s="25"/>
      <c r="AC247" s="25"/>
      <c r="AD247" s="25"/>
      <c r="AE247" s="25"/>
      <c r="AF247" s="25"/>
      <c r="AG247" s="25"/>
    </row>
    <row r="248" spans="20:33" ht="30.5" x14ac:dyDescent="0.35">
      <c r="T248" s="12"/>
      <c r="U248" s="19" t="s">
        <v>29</v>
      </c>
      <c r="V248" s="20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2"/>
    </row>
    <row r="249" spans="20:33" ht="31" x14ac:dyDescent="0.35">
      <c r="T249" s="12">
        <v>13</v>
      </c>
      <c r="U249" s="13" t="s">
        <v>43</v>
      </c>
      <c r="V249" s="24">
        <v>1</v>
      </c>
      <c r="W249" s="24">
        <v>1</v>
      </c>
      <c r="X249" s="24">
        <v>1</v>
      </c>
      <c r="Y249" s="24"/>
      <c r="Z249" s="24"/>
      <c r="AA249" s="24"/>
      <c r="AB249" s="24"/>
      <c r="AC249" s="24"/>
      <c r="AD249" s="24"/>
      <c r="AE249" s="24"/>
      <c r="AF249" s="24"/>
      <c r="AG249" s="24"/>
    </row>
    <row r="250" spans="20:33" ht="46.5" x14ac:dyDescent="0.35">
      <c r="T250" s="12">
        <v>14</v>
      </c>
      <c r="U250" s="13" t="s">
        <v>44</v>
      </c>
      <c r="V250" s="12">
        <v>1</v>
      </c>
      <c r="W250" s="12">
        <v>1</v>
      </c>
      <c r="X250" s="12">
        <v>1</v>
      </c>
      <c r="Y250" s="12"/>
      <c r="Z250" s="12"/>
      <c r="AA250" s="12"/>
      <c r="AB250" s="12"/>
      <c r="AC250" s="12"/>
      <c r="AD250" s="12"/>
      <c r="AE250" s="12"/>
      <c r="AF250" s="12"/>
      <c r="AG250" s="12"/>
    </row>
    <row r="251" spans="20:33" ht="62" x14ac:dyDescent="0.35">
      <c r="T251" s="12">
        <v>15</v>
      </c>
      <c r="U251" s="13" t="s">
        <v>46</v>
      </c>
      <c r="V251" s="12">
        <v>1</v>
      </c>
      <c r="W251" s="12">
        <v>1</v>
      </c>
      <c r="X251" s="12">
        <v>1</v>
      </c>
      <c r="Y251" s="12"/>
      <c r="Z251" s="12"/>
      <c r="AA251" s="12"/>
      <c r="AB251" s="12"/>
      <c r="AC251" s="12"/>
      <c r="AD251" s="12"/>
      <c r="AE251" s="12"/>
      <c r="AF251" s="12"/>
      <c r="AG251" s="12"/>
    </row>
    <row r="252" spans="20:33" ht="62" x14ac:dyDescent="0.35">
      <c r="T252" s="12">
        <v>16</v>
      </c>
      <c r="U252" s="13" t="s">
        <v>45</v>
      </c>
      <c r="V252" s="25">
        <v>0</v>
      </c>
      <c r="W252" s="25">
        <v>0</v>
      </c>
      <c r="X252" s="25">
        <v>0</v>
      </c>
      <c r="Y252" s="25"/>
      <c r="Z252" s="25"/>
      <c r="AA252" s="25"/>
      <c r="AB252" s="25"/>
      <c r="AC252" s="25"/>
      <c r="AD252" s="25"/>
      <c r="AE252" s="25"/>
      <c r="AF252" s="25"/>
      <c r="AG252" s="25"/>
    </row>
    <row r="253" spans="20:33" x14ac:dyDescent="0.35">
      <c r="T253" s="12"/>
      <c r="U253" s="23" t="s">
        <v>30</v>
      </c>
      <c r="V253" s="20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2"/>
    </row>
    <row r="254" spans="20:33" ht="62" x14ac:dyDescent="0.35">
      <c r="T254" s="12">
        <v>17</v>
      </c>
      <c r="U254" s="13" t="s">
        <v>47</v>
      </c>
      <c r="V254" s="24">
        <v>0</v>
      </c>
      <c r="W254" s="24">
        <v>0</v>
      </c>
      <c r="X254" s="24">
        <v>0</v>
      </c>
      <c r="Y254" s="24"/>
      <c r="Z254" s="24"/>
      <c r="AA254" s="24"/>
      <c r="AB254" s="24"/>
      <c r="AC254" s="24"/>
      <c r="AD254" s="24"/>
      <c r="AE254" s="24"/>
      <c r="AF254" s="24"/>
      <c r="AG254" s="24"/>
    </row>
    <row r="255" spans="20:33" ht="77.5" x14ac:dyDescent="0.35">
      <c r="T255" s="12">
        <v>18</v>
      </c>
      <c r="U255" s="13" t="s">
        <v>33</v>
      </c>
      <c r="V255" s="25">
        <v>0</v>
      </c>
      <c r="W255" s="25">
        <v>0</v>
      </c>
      <c r="X255" s="25">
        <v>0</v>
      </c>
      <c r="Y255" s="25"/>
      <c r="Z255" s="25"/>
      <c r="AA255" s="25"/>
      <c r="AB255" s="25"/>
      <c r="AC255" s="25"/>
      <c r="AD255" s="25"/>
      <c r="AE255" s="25"/>
      <c r="AF255" s="25"/>
      <c r="AG255" s="25"/>
    </row>
    <row r="256" spans="20:33" x14ac:dyDescent="0.35">
      <c r="T256" s="15"/>
      <c r="U256" s="37" t="s">
        <v>31</v>
      </c>
      <c r="V256" s="17">
        <f t="shared" ref="V256:AF256" si="304">V234+V235+V237+V238+V239+V240+V241+V242+V243+V245+V246+V247+V249+V250+V251+V252+V254+V255</f>
        <v>11</v>
      </c>
      <c r="W256" s="17">
        <f t="shared" si="304"/>
        <v>12</v>
      </c>
      <c r="X256" s="17">
        <f t="shared" si="304"/>
        <v>14</v>
      </c>
      <c r="Y256" s="17">
        <f t="shared" si="304"/>
        <v>0</v>
      </c>
      <c r="Z256" s="17">
        <f t="shared" si="304"/>
        <v>0</v>
      </c>
      <c r="AA256" s="17">
        <f t="shared" si="304"/>
        <v>0</v>
      </c>
      <c r="AB256" s="17">
        <f t="shared" si="304"/>
        <v>0</v>
      </c>
      <c r="AC256" s="17">
        <f t="shared" si="304"/>
        <v>0</v>
      </c>
      <c r="AD256" s="17">
        <f t="shared" si="304"/>
        <v>0</v>
      </c>
      <c r="AE256" s="17">
        <f t="shared" si="304"/>
        <v>0</v>
      </c>
      <c r="AF256" s="17">
        <f t="shared" si="304"/>
        <v>0</v>
      </c>
      <c r="AG256" s="17">
        <f t="shared" ref="AG256" si="305">AG234+AG235+AG237+AG238+AG239+AG240+AG241+AG242+AG243+AG245+AG246+AG247+AG249+AG250+AG251+AG252+AG254+AG255</f>
        <v>0</v>
      </c>
    </row>
    <row r="257" spans="20:33" ht="75" x14ac:dyDescent="0.35">
      <c r="T257" s="16" t="s">
        <v>32</v>
      </c>
      <c r="U257" s="17"/>
      <c r="V257" s="30">
        <f t="shared" ref="V257:AF257" si="306">V256/18</f>
        <v>0.61111111111111116</v>
      </c>
      <c r="W257" s="30">
        <f t="shared" si="306"/>
        <v>0.66666666666666663</v>
      </c>
      <c r="X257" s="30">
        <f t="shared" si="306"/>
        <v>0.77777777777777779</v>
      </c>
      <c r="Y257" s="30">
        <f t="shared" si="306"/>
        <v>0</v>
      </c>
      <c r="Z257" s="30">
        <f t="shared" si="306"/>
        <v>0</v>
      </c>
      <c r="AA257" s="30">
        <f t="shared" si="306"/>
        <v>0</v>
      </c>
      <c r="AB257" s="30">
        <f t="shared" si="306"/>
        <v>0</v>
      </c>
      <c r="AC257" s="30">
        <f t="shared" si="306"/>
        <v>0</v>
      </c>
      <c r="AD257" s="30">
        <f t="shared" si="306"/>
        <v>0</v>
      </c>
      <c r="AE257" s="30">
        <f t="shared" si="306"/>
        <v>0</v>
      </c>
      <c r="AF257" s="30">
        <f t="shared" si="306"/>
        <v>0</v>
      </c>
      <c r="AG257" s="30">
        <f t="shared" ref="AG257" si="307">AG256/18</f>
        <v>0</v>
      </c>
    </row>
    <row r="259" spans="20:33" x14ac:dyDescent="0.35">
      <c r="X259" s="50" t="s">
        <v>149</v>
      </c>
    </row>
    <row r="261" spans="20:33" x14ac:dyDescent="0.35">
      <c r="T261" s="35" t="s">
        <v>0</v>
      </c>
      <c r="U261" s="10" t="s">
        <v>25</v>
      </c>
      <c r="V261" s="57" t="s">
        <v>134</v>
      </c>
      <c r="W261" s="58"/>
      <c r="X261" s="59"/>
      <c r="Y261" s="57" t="s">
        <v>135</v>
      </c>
      <c r="Z261" s="58"/>
      <c r="AA261" s="59"/>
      <c r="AB261" s="57" t="s">
        <v>137</v>
      </c>
      <c r="AC261" s="58"/>
      <c r="AD261" s="59"/>
      <c r="AE261" s="37"/>
      <c r="AF261" s="38"/>
      <c r="AG261" s="39"/>
    </row>
    <row r="262" spans="20:33" x14ac:dyDescent="0.35">
      <c r="T262" s="36"/>
      <c r="U262" s="11" t="s">
        <v>26</v>
      </c>
      <c r="V262" s="14">
        <v>2022</v>
      </c>
      <c r="W262" s="14">
        <v>2023</v>
      </c>
      <c r="X262" s="14">
        <v>2024</v>
      </c>
      <c r="Y262" s="14">
        <v>2022</v>
      </c>
      <c r="Z262" s="14">
        <v>2023</v>
      </c>
      <c r="AA262" s="14">
        <v>2024</v>
      </c>
      <c r="AB262" s="14">
        <v>2022</v>
      </c>
      <c r="AC262" s="14">
        <v>2023</v>
      </c>
      <c r="AD262" s="14">
        <v>2024</v>
      </c>
      <c r="AE262" s="14">
        <v>2022</v>
      </c>
      <c r="AF262" s="14">
        <v>2023</v>
      </c>
      <c r="AG262" s="14">
        <v>2024</v>
      </c>
    </row>
    <row r="263" spans="20:33" ht="77.5" x14ac:dyDescent="0.35">
      <c r="T263" s="12">
        <v>1</v>
      </c>
      <c r="U263" s="18" t="s">
        <v>49</v>
      </c>
      <c r="V263" s="12">
        <v>0</v>
      </c>
      <c r="W263" s="12">
        <v>1</v>
      </c>
      <c r="X263" s="12">
        <v>0</v>
      </c>
      <c r="Y263" s="12">
        <v>1</v>
      </c>
      <c r="Z263" s="12">
        <v>0</v>
      </c>
      <c r="AA263" s="12">
        <v>1</v>
      </c>
      <c r="AB263" s="12">
        <v>0</v>
      </c>
      <c r="AC263" s="12">
        <v>0</v>
      </c>
      <c r="AD263" s="12">
        <v>0</v>
      </c>
      <c r="AE263" s="12"/>
      <c r="AF263" s="12"/>
      <c r="AG263" s="12"/>
    </row>
    <row r="264" spans="20:33" ht="46.5" x14ac:dyDescent="0.35">
      <c r="T264" s="12">
        <v>2</v>
      </c>
      <c r="U264" s="13" t="s">
        <v>34</v>
      </c>
      <c r="V264" s="25">
        <v>0</v>
      </c>
      <c r="W264" s="25">
        <v>0</v>
      </c>
      <c r="X264" s="25">
        <v>1</v>
      </c>
      <c r="Y264" s="25">
        <v>0</v>
      </c>
      <c r="Z264" s="25">
        <v>0</v>
      </c>
      <c r="AA264" s="25">
        <v>0</v>
      </c>
      <c r="AB264" s="25">
        <v>0</v>
      </c>
      <c r="AC264" s="25">
        <v>1</v>
      </c>
      <c r="AD264" s="25">
        <v>1</v>
      </c>
      <c r="AE264" s="25"/>
      <c r="AF264" s="25"/>
      <c r="AG264" s="25"/>
    </row>
    <row r="265" spans="20:33" ht="30.5" x14ac:dyDescent="0.35">
      <c r="T265" s="12"/>
      <c r="U265" s="19" t="s">
        <v>27</v>
      </c>
      <c r="V265" s="20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2"/>
    </row>
    <row r="266" spans="20:33" ht="62" x14ac:dyDescent="0.35">
      <c r="T266" s="12">
        <v>3</v>
      </c>
      <c r="U266" s="13" t="s">
        <v>48</v>
      </c>
      <c r="V266" s="24">
        <v>1</v>
      </c>
      <c r="W266" s="24">
        <v>1</v>
      </c>
      <c r="X266" s="24">
        <v>1</v>
      </c>
      <c r="Y266" s="24">
        <v>0</v>
      </c>
      <c r="Z266" s="24">
        <v>0</v>
      </c>
      <c r="AA266" s="24">
        <v>1</v>
      </c>
      <c r="AB266" s="24">
        <v>1</v>
      </c>
      <c r="AC266" s="24">
        <v>1</v>
      </c>
      <c r="AD266" s="24">
        <v>1</v>
      </c>
      <c r="AE266" s="24"/>
      <c r="AF266" s="24"/>
      <c r="AG266" s="24"/>
    </row>
    <row r="267" spans="20:33" ht="62" x14ac:dyDescent="0.35">
      <c r="T267" s="12">
        <v>4</v>
      </c>
      <c r="U267" s="13" t="s">
        <v>35</v>
      </c>
      <c r="V267" s="12">
        <v>1</v>
      </c>
      <c r="W267" s="12">
        <v>1</v>
      </c>
      <c r="X267" s="12">
        <v>1</v>
      </c>
      <c r="Y267" s="12">
        <v>0</v>
      </c>
      <c r="Z267" s="12">
        <v>0</v>
      </c>
      <c r="AA267" s="12">
        <v>1</v>
      </c>
      <c r="AB267" s="12">
        <v>1</v>
      </c>
      <c r="AC267" s="12">
        <v>1</v>
      </c>
      <c r="AD267" s="12">
        <v>1</v>
      </c>
      <c r="AE267" s="12"/>
      <c r="AF267" s="12"/>
      <c r="AG267" s="12"/>
    </row>
    <row r="268" spans="20:33" ht="31" x14ac:dyDescent="0.35">
      <c r="T268" s="12">
        <v>5</v>
      </c>
      <c r="U268" s="13" t="s">
        <v>36</v>
      </c>
      <c r="V268" s="12">
        <v>1</v>
      </c>
      <c r="W268" s="12">
        <v>1</v>
      </c>
      <c r="X268" s="12">
        <v>1</v>
      </c>
      <c r="Y268" s="12">
        <v>1</v>
      </c>
      <c r="Z268" s="12">
        <v>1</v>
      </c>
      <c r="AA268" s="12">
        <v>1</v>
      </c>
      <c r="AB268" s="12">
        <v>1</v>
      </c>
      <c r="AC268" s="12">
        <v>1</v>
      </c>
      <c r="AD268" s="12">
        <v>1</v>
      </c>
      <c r="AE268" s="12"/>
      <c r="AF268" s="12"/>
      <c r="AG268" s="12"/>
    </row>
    <row r="269" spans="20:33" ht="31" x14ac:dyDescent="0.35">
      <c r="T269" s="12">
        <v>6</v>
      </c>
      <c r="U269" s="13" t="s">
        <v>37</v>
      </c>
      <c r="V269" s="12">
        <v>1</v>
      </c>
      <c r="W269" s="12">
        <v>1</v>
      </c>
      <c r="X269" s="12">
        <v>1</v>
      </c>
      <c r="Y269" s="12">
        <v>1</v>
      </c>
      <c r="Z269" s="12">
        <v>1</v>
      </c>
      <c r="AA269" s="12">
        <v>1</v>
      </c>
      <c r="AB269" s="12">
        <v>1</v>
      </c>
      <c r="AC269" s="12">
        <v>1</v>
      </c>
      <c r="AD269" s="12">
        <v>1</v>
      </c>
      <c r="AE269" s="12"/>
      <c r="AF269" s="12"/>
      <c r="AG269" s="12"/>
    </row>
    <row r="270" spans="20:33" ht="46.5" x14ac:dyDescent="0.35">
      <c r="T270" s="12">
        <v>7</v>
      </c>
      <c r="U270" s="13" t="s">
        <v>38</v>
      </c>
      <c r="V270" s="12">
        <v>1</v>
      </c>
      <c r="W270" s="12">
        <v>1</v>
      </c>
      <c r="X270" s="12">
        <v>1</v>
      </c>
      <c r="Y270" s="12">
        <v>1</v>
      </c>
      <c r="Z270" s="12">
        <v>1</v>
      </c>
      <c r="AA270" s="12">
        <v>1</v>
      </c>
      <c r="AB270" s="12">
        <v>1</v>
      </c>
      <c r="AC270" s="12">
        <v>1</v>
      </c>
      <c r="AD270" s="12">
        <v>1</v>
      </c>
      <c r="AE270" s="12"/>
      <c r="AF270" s="12"/>
      <c r="AG270" s="12"/>
    </row>
    <row r="271" spans="20:33" ht="31" x14ac:dyDescent="0.35">
      <c r="T271" s="12">
        <v>8</v>
      </c>
      <c r="U271" s="13" t="s">
        <v>39</v>
      </c>
      <c r="V271" s="12">
        <v>1</v>
      </c>
      <c r="W271" s="12">
        <v>1</v>
      </c>
      <c r="X271" s="12">
        <v>1</v>
      </c>
      <c r="Y271" s="12">
        <v>1</v>
      </c>
      <c r="Z271" s="12">
        <v>1</v>
      </c>
      <c r="AA271" s="12">
        <v>1</v>
      </c>
      <c r="AB271" s="12">
        <v>1</v>
      </c>
      <c r="AC271" s="12">
        <v>1</v>
      </c>
      <c r="AD271" s="12">
        <v>1</v>
      </c>
      <c r="AE271" s="12"/>
      <c r="AF271" s="12"/>
      <c r="AG271" s="12"/>
    </row>
    <row r="272" spans="20:33" ht="31" x14ac:dyDescent="0.35">
      <c r="T272" s="12">
        <v>9</v>
      </c>
      <c r="U272" s="13" t="s">
        <v>40</v>
      </c>
      <c r="V272" s="25">
        <v>1</v>
      </c>
      <c r="W272" s="25">
        <v>1</v>
      </c>
      <c r="X272" s="25">
        <v>1</v>
      </c>
      <c r="Y272" s="25">
        <v>1</v>
      </c>
      <c r="Z272" s="25">
        <v>1</v>
      </c>
      <c r="AA272" s="25">
        <v>1</v>
      </c>
      <c r="AB272" s="25">
        <v>1</v>
      </c>
      <c r="AC272" s="25">
        <v>1</v>
      </c>
      <c r="AD272" s="25">
        <v>1</v>
      </c>
      <c r="AE272" s="25"/>
      <c r="AF272" s="25"/>
      <c r="AG272" s="25"/>
    </row>
    <row r="273" spans="20:33" x14ac:dyDescent="0.35">
      <c r="T273" s="12"/>
      <c r="U273" s="23" t="s">
        <v>28</v>
      </c>
      <c r="V273" s="20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2"/>
    </row>
    <row r="274" spans="20:33" ht="31" x14ac:dyDescent="0.35">
      <c r="T274" s="12">
        <v>10</v>
      </c>
      <c r="U274" s="13" t="s">
        <v>41</v>
      </c>
      <c r="V274" s="24">
        <v>1</v>
      </c>
      <c r="W274" s="24">
        <v>1</v>
      </c>
      <c r="X274" s="24">
        <v>1</v>
      </c>
      <c r="Y274" s="24">
        <v>1</v>
      </c>
      <c r="Z274" s="24">
        <v>1</v>
      </c>
      <c r="AA274" s="24">
        <v>1</v>
      </c>
      <c r="AB274" s="24">
        <v>1</v>
      </c>
      <c r="AC274" s="24">
        <v>1</v>
      </c>
      <c r="AD274" s="24">
        <v>1</v>
      </c>
      <c r="AE274" s="24"/>
      <c r="AF274" s="24"/>
      <c r="AG274" s="24"/>
    </row>
    <row r="275" spans="20:33" ht="46.5" x14ac:dyDescent="0.35">
      <c r="T275" s="12">
        <v>11</v>
      </c>
      <c r="U275" s="13" t="s">
        <v>50</v>
      </c>
      <c r="V275" s="12">
        <v>1</v>
      </c>
      <c r="W275" s="12">
        <v>1</v>
      </c>
      <c r="X275" s="12">
        <v>1</v>
      </c>
      <c r="Y275" s="12">
        <v>0</v>
      </c>
      <c r="Z275" s="12">
        <v>0</v>
      </c>
      <c r="AA275" s="12">
        <v>0</v>
      </c>
      <c r="AB275" s="12">
        <v>1</v>
      </c>
      <c r="AC275" s="12">
        <v>1</v>
      </c>
      <c r="AD275" s="12">
        <v>1</v>
      </c>
      <c r="AE275" s="12"/>
      <c r="AF275" s="12"/>
      <c r="AG275" s="12"/>
    </row>
    <row r="276" spans="20:33" ht="31" x14ac:dyDescent="0.35">
      <c r="T276" s="12">
        <v>12</v>
      </c>
      <c r="U276" s="13" t="s">
        <v>42</v>
      </c>
      <c r="V276" s="25">
        <v>1</v>
      </c>
      <c r="W276" s="25">
        <v>1</v>
      </c>
      <c r="X276" s="25">
        <v>1</v>
      </c>
      <c r="Y276" s="25">
        <v>1</v>
      </c>
      <c r="Z276" s="25">
        <v>1</v>
      </c>
      <c r="AA276" s="25">
        <v>1</v>
      </c>
      <c r="AB276" s="25">
        <v>1</v>
      </c>
      <c r="AC276" s="25">
        <v>1</v>
      </c>
      <c r="AD276" s="25">
        <v>1</v>
      </c>
      <c r="AE276" s="25"/>
      <c r="AF276" s="25"/>
      <c r="AG276" s="25"/>
    </row>
    <row r="277" spans="20:33" ht="30.5" x14ac:dyDescent="0.35">
      <c r="T277" s="12"/>
      <c r="U277" s="19" t="s">
        <v>29</v>
      </c>
      <c r="V277" s="20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2"/>
    </row>
    <row r="278" spans="20:33" ht="31" x14ac:dyDescent="0.35">
      <c r="T278" s="12">
        <v>13</v>
      </c>
      <c r="U278" s="13" t="s">
        <v>43</v>
      </c>
      <c r="V278" s="24">
        <v>1</v>
      </c>
      <c r="W278" s="24">
        <v>1</v>
      </c>
      <c r="X278" s="24">
        <v>1</v>
      </c>
      <c r="Y278" s="24">
        <v>1</v>
      </c>
      <c r="Z278" s="24">
        <v>1</v>
      </c>
      <c r="AA278" s="24">
        <v>1</v>
      </c>
      <c r="AB278" s="24">
        <v>1</v>
      </c>
      <c r="AC278" s="24">
        <v>1</v>
      </c>
      <c r="AD278" s="24">
        <v>1</v>
      </c>
      <c r="AE278" s="24"/>
      <c r="AF278" s="24"/>
      <c r="AG278" s="24"/>
    </row>
    <row r="279" spans="20:33" ht="46.5" x14ac:dyDescent="0.35">
      <c r="T279" s="12">
        <v>14</v>
      </c>
      <c r="U279" s="13" t="s">
        <v>44</v>
      </c>
      <c r="V279" s="12">
        <v>1</v>
      </c>
      <c r="W279" s="12">
        <v>1</v>
      </c>
      <c r="X279" s="12">
        <v>1</v>
      </c>
      <c r="Y279" s="12">
        <v>1</v>
      </c>
      <c r="Z279" s="12">
        <v>1</v>
      </c>
      <c r="AA279" s="12">
        <v>1</v>
      </c>
      <c r="AB279" s="12">
        <v>1</v>
      </c>
      <c r="AC279" s="12">
        <v>1</v>
      </c>
      <c r="AD279" s="12">
        <v>1</v>
      </c>
      <c r="AE279" s="12"/>
      <c r="AF279" s="12"/>
      <c r="AG279" s="12"/>
    </row>
    <row r="280" spans="20:33" ht="62" x14ac:dyDescent="0.35">
      <c r="T280" s="12">
        <v>15</v>
      </c>
      <c r="U280" s="13" t="s">
        <v>46</v>
      </c>
      <c r="V280" s="12">
        <v>1</v>
      </c>
      <c r="W280" s="12">
        <v>1</v>
      </c>
      <c r="X280" s="12">
        <v>1</v>
      </c>
      <c r="Y280" s="12">
        <v>1</v>
      </c>
      <c r="Z280" s="12">
        <v>1</v>
      </c>
      <c r="AA280" s="12">
        <v>1</v>
      </c>
      <c r="AB280" s="12">
        <v>1</v>
      </c>
      <c r="AC280" s="12">
        <v>1</v>
      </c>
      <c r="AD280" s="12">
        <v>1</v>
      </c>
      <c r="AE280" s="12"/>
      <c r="AF280" s="12"/>
      <c r="AG280" s="12"/>
    </row>
    <row r="281" spans="20:33" ht="62" x14ac:dyDescent="0.35">
      <c r="T281" s="12">
        <v>16</v>
      </c>
      <c r="U281" s="13" t="s">
        <v>45</v>
      </c>
      <c r="V281" s="25">
        <v>0</v>
      </c>
      <c r="W281" s="25">
        <v>0</v>
      </c>
      <c r="X281" s="25">
        <v>0</v>
      </c>
      <c r="Y281" s="25">
        <v>0</v>
      </c>
      <c r="Z281" s="25">
        <v>0</v>
      </c>
      <c r="AA281" s="25">
        <v>0</v>
      </c>
      <c r="AB281" s="25">
        <v>0</v>
      </c>
      <c r="AC281" s="25">
        <v>0</v>
      </c>
      <c r="AD281" s="25">
        <v>0</v>
      </c>
      <c r="AE281" s="25"/>
      <c r="AF281" s="25"/>
      <c r="AG281" s="25"/>
    </row>
    <row r="282" spans="20:33" x14ac:dyDescent="0.35">
      <c r="T282" s="12"/>
      <c r="U282" s="23" t="s">
        <v>30</v>
      </c>
      <c r="V282" s="20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2"/>
    </row>
    <row r="283" spans="20:33" ht="62" x14ac:dyDescent="0.35">
      <c r="T283" s="12">
        <v>17</v>
      </c>
      <c r="U283" s="13" t="s">
        <v>47</v>
      </c>
      <c r="V283" s="24">
        <v>0</v>
      </c>
      <c r="W283" s="24">
        <v>0</v>
      </c>
      <c r="X283" s="24">
        <v>0</v>
      </c>
      <c r="Y283" s="24">
        <v>0</v>
      </c>
      <c r="Z283" s="24">
        <v>0</v>
      </c>
      <c r="AA283" s="24">
        <v>0</v>
      </c>
      <c r="AB283" s="24">
        <v>0</v>
      </c>
      <c r="AC283" s="24">
        <v>0</v>
      </c>
      <c r="AD283" s="24">
        <v>0</v>
      </c>
      <c r="AE283" s="24"/>
      <c r="AF283" s="24"/>
      <c r="AG283" s="24"/>
    </row>
    <row r="284" spans="20:33" ht="77.5" x14ac:dyDescent="0.35">
      <c r="T284" s="12">
        <v>18</v>
      </c>
      <c r="U284" s="13" t="s">
        <v>33</v>
      </c>
      <c r="V284" s="25">
        <v>0</v>
      </c>
      <c r="W284" s="25">
        <v>0</v>
      </c>
      <c r="X284" s="25">
        <v>0</v>
      </c>
      <c r="Y284" s="25">
        <v>0</v>
      </c>
      <c r="Z284" s="25">
        <v>0</v>
      </c>
      <c r="AA284" s="25">
        <v>0</v>
      </c>
      <c r="AB284" s="25">
        <v>0</v>
      </c>
      <c r="AC284" s="25">
        <v>0</v>
      </c>
      <c r="AD284" s="25">
        <v>0</v>
      </c>
      <c r="AE284" s="25"/>
      <c r="AF284" s="25"/>
      <c r="AG284" s="25"/>
    </row>
    <row r="285" spans="20:33" x14ac:dyDescent="0.35">
      <c r="T285" s="15"/>
      <c r="U285" s="37" t="s">
        <v>31</v>
      </c>
      <c r="V285" s="17">
        <f t="shared" ref="V285:AF285" si="308">V263+V264+V266+V267+V268+V269+V270+V271+V272+V274+V275+V276+V278+V279+V280+V281+V283+V284</f>
        <v>13</v>
      </c>
      <c r="W285" s="17">
        <f t="shared" si="308"/>
        <v>14</v>
      </c>
      <c r="X285" s="17">
        <f t="shared" si="308"/>
        <v>14</v>
      </c>
      <c r="Y285" s="17">
        <f t="shared" si="308"/>
        <v>11</v>
      </c>
      <c r="Z285" s="17">
        <f t="shared" si="308"/>
        <v>10</v>
      </c>
      <c r="AA285" s="17">
        <f t="shared" si="308"/>
        <v>13</v>
      </c>
      <c r="AB285" s="17">
        <f t="shared" si="308"/>
        <v>13</v>
      </c>
      <c r="AC285" s="17">
        <f t="shared" si="308"/>
        <v>14</v>
      </c>
      <c r="AD285" s="17">
        <f t="shared" si="308"/>
        <v>14</v>
      </c>
      <c r="AE285" s="17">
        <f t="shared" si="308"/>
        <v>0</v>
      </c>
      <c r="AF285" s="17">
        <f t="shared" si="308"/>
        <v>0</v>
      </c>
      <c r="AG285" s="17">
        <f t="shared" ref="AG285" si="309">AG263+AG264+AG266+AG267+AG268+AG269+AG270+AG271+AG272+AG274+AG275+AG276+AG278+AG279+AG280+AG281+AG283+AG284</f>
        <v>0</v>
      </c>
    </row>
    <row r="286" spans="20:33" ht="75" x14ac:dyDescent="0.35">
      <c r="T286" s="16" t="s">
        <v>32</v>
      </c>
      <c r="U286" s="17"/>
      <c r="V286" s="30">
        <f t="shared" ref="V286:AF286" si="310">V285/18</f>
        <v>0.72222222222222221</v>
      </c>
      <c r="W286" s="30">
        <f t="shared" si="310"/>
        <v>0.77777777777777779</v>
      </c>
      <c r="X286" s="30">
        <f t="shared" si="310"/>
        <v>0.77777777777777779</v>
      </c>
      <c r="Y286" s="30">
        <f t="shared" si="310"/>
        <v>0.61111111111111116</v>
      </c>
      <c r="Z286" s="30">
        <f t="shared" si="310"/>
        <v>0.55555555555555558</v>
      </c>
      <c r="AA286" s="30">
        <f t="shared" si="310"/>
        <v>0.72222222222222221</v>
      </c>
      <c r="AB286" s="30">
        <f t="shared" si="310"/>
        <v>0.72222222222222221</v>
      </c>
      <c r="AC286" s="30">
        <f t="shared" si="310"/>
        <v>0.77777777777777779</v>
      </c>
      <c r="AD286" s="30">
        <f t="shared" si="310"/>
        <v>0.77777777777777779</v>
      </c>
      <c r="AE286" s="30">
        <f t="shared" si="310"/>
        <v>0</v>
      </c>
      <c r="AF286" s="30">
        <f t="shared" si="310"/>
        <v>0</v>
      </c>
      <c r="AG286" s="30">
        <f t="shared" ref="AG286" si="311">AG285/18</f>
        <v>0</v>
      </c>
    </row>
  </sheetData>
  <mergeCells count="113">
    <mergeCell ref="BJ199:BL199"/>
    <mergeCell ref="V261:X261"/>
    <mergeCell ref="Y261:AA261"/>
    <mergeCell ref="AB261:AD261"/>
    <mergeCell ref="AU6:AW6"/>
    <mergeCell ref="AL6:AN6"/>
    <mergeCell ref="AO6:AQ6"/>
    <mergeCell ref="AR6:AT6"/>
    <mergeCell ref="V232:X232"/>
    <mergeCell ref="Y232:AA232"/>
    <mergeCell ref="AB232:AD232"/>
    <mergeCell ref="V118:X118"/>
    <mergeCell ref="Y118:AA118"/>
    <mergeCell ref="AB118:AD118"/>
    <mergeCell ref="AE118:AG118"/>
    <mergeCell ref="V62:X62"/>
    <mergeCell ref="AL33:AN33"/>
    <mergeCell ref="AO33:AQ33"/>
    <mergeCell ref="AR33:AT33"/>
    <mergeCell ref="AU33:AW33"/>
    <mergeCell ref="AL62:AN62"/>
    <mergeCell ref="AO62:AQ62"/>
    <mergeCell ref="AR62:AT62"/>
    <mergeCell ref="AU62:AW62"/>
    <mergeCell ref="AE5:AG5"/>
    <mergeCell ref="V33:X33"/>
    <mergeCell ref="Y33:AA33"/>
    <mergeCell ref="AB33:AD33"/>
    <mergeCell ref="AE33:AG33"/>
    <mergeCell ref="Y62:AA62"/>
    <mergeCell ref="AB62:AD62"/>
    <mergeCell ref="AE62:AG62"/>
    <mergeCell ref="V89:X89"/>
    <mergeCell ref="Y89:AA89"/>
    <mergeCell ref="AB89:AD89"/>
    <mergeCell ref="AE89:AG89"/>
    <mergeCell ref="B82:B83"/>
    <mergeCell ref="D82:F82"/>
    <mergeCell ref="G82:I82"/>
    <mergeCell ref="J82:L82"/>
    <mergeCell ref="M82:O82"/>
    <mergeCell ref="V3:AB3"/>
    <mergeCell ref="B163:B164"/>
    <mergeCell ref="D163:F163"/>
    <mergeCell ref="G163:I163"/>
    <mergeCell ref="J163:L163"/>
    <mergeCell ref="M163:O163"/>
    <mergeCell ref="B136:B137"/>
    <mergeCell ref="D136:F136"/>
    <mergeCell ref="G136:I136"/>
    <mergeCell ref="J136:L136"/>
    <mergeCell ref="M136:O136"/>
    <mergeCell ref="B109:B110"/>
    <mergeCell ref="D109:F109"/>
    <mergeCell ref="G109:I109"/>
    <mergeCell ref="J109:L109"/>
    <mergeCell ref="M109:O109"/>
    <mergeCell ref="V5:X5"/>
    <mergeCell ref="Y5:AA5"/>
    <mergeCell ref="AB5:AD5"/>
    <mergeCell ref="D1:F1"/>
    <mergeCell ref="G1:I1"/>
    <mergeCell ref="J1:L1"/>
    <mergeCell ref="M1:O1"/>
    <mergeCell ref="B1:B2"/>
    <mergeCell ref="B55:B56"/>
    <mergeCell ref="D55:F55"/>
    <mergeCell ref="G55:I55"/>
    <mergeCell ref="J55:L55"/>
    <mergeCell ref="M55:O55"/>
    <mergeCell ref="B28:B29"/>
    <mergeCell ref="D28:F28"/>
    <mergeCell ref="G28:I28"/>
    <mergeCell ref="J28:L28"/>
    <mergeCell ref="M28:O28"/>
    <mergeCell ref="BJ33:BL33"/>
    <mergeCell ref="BA60:BC60"/>
    <mergeCell ref="BD60:BF60"/>
    <mergeCell ref="BG60:BI60"/>
    <mergeCell ref="BJ60:BL60"/>
    <mergeCell ref="AY3:BB3"/>
    <mergeCell ref="AY4:BB4"/>
    <mergeCell ref="BA33:BC33"/>
    <mergeCell ref="BD33:BF33"/>
    <mergeCell ref="BG33:BI33"/>
    <mergeCell ref="BA6:BC6"/>
    <mergeCell ref="BD6:BF6"/>
    <mergeCell ref="BG6:BI6"/>
    <mergeCell ref="BJ6:BL6"/>
    <mergeCell ref="BA87:BC87"/>
    <mergeCell ref="BD87:BF87"/>
    <mergeCell ref="BG87:BI87"/>
    <mergeCell ref="BJ87:BL87"/>
    <mergeCell ref="V173:X173"/>
    <mergeCell ref="Y173:AA173"/>
    <mergeCell ref="V202:X202"/>
    <mergeCell ref="Y202:AA202"/>
    <mergeCell ref="AB202:AD202"/>
    <mergeCell ref="V145:X145"/>
    <mergeCell ref="Y145:AA145"/>
    <mergeCell ref="AB145:AD145"/>
    <mergeCell ref="AE145:AG145"/>
    <mergeCell ref="BA116:BC116"/>
    <mergeCell ref="BD116:BF116"/>
    <mergeCell ref="BG116:BI116"/>
    <mergeCell ref="BJ116:BL116"/>
    <mergeCell ref="AL89:AN89"/>
    <mergeCell ref="AO89:AQ89"/>
    <mergeCell ref="AR89:AT89"/>
    <mergeCell ref="AU89:AW89"/>
    <mergeCell ref="BA199:BC199"/>
    <mergeCell ref="BD199:BF199"/>
    <mergeCell ref="BG199:BI199"/>
  </mergeCells>
  <phoneticPr fontId="5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B372A-FEEB-4D12-A7EF-B26CE3F8E3C9}">
  <dimension ref="A1:I76"/>
  <sheetViews>
    <sheetView zoomScale="80" zoomScaleNormal="80" workbookViewId="0">
      <selection activeCell="F7" sqref="F7"/>
    </sheetView>
  </sheetViews>
  <sheetFormatPr defaultRowHeight="14.5" x14ac:dyDescent="0.35"/>
  <cols>
    <col min="1" max="1" width="3.08984375" bestFit="1" customWidth="1"/>
    <col min="2" max="2" width="11.90625" bestFit="1" customWidth="1"/>
    <col min="3" max="3" width="6.36328125" bestFit="1" customWidth="1"/>
    <col min="4" max="4" width="9.1796875" bestFit="1" customWidth="1"/>
    <col min="5" max="5" width="23.90625" bestFit="1" customWidth="1"/>
    <col min="6" max="6" width="25.90625" bestFit="1" customWidth="1"/>
    <col min="7" max="7" width="18.36328125" bestFit="1" customWidth="1"/>
    <col min="8" max="9" width="9" bestFit="1" customWidth="1"/>
  </cols>
  <sheetData>
    <row r="1" spans="1:9" ht="15.5" x14ac:dyDescent="0.35">
      <c r="A1" s="4" t="s">
        <v>66</v>
      </c>
      <c r="B1" s="4" t="s">
        <v>1</v>
      </c>
      <c r="C1" s="4" t="s">
        <v>2</v>
      </c>
      <c r="D1" s="4" t="s">
        <v>70</v>
      </c>
      <c r="E1" s="4" t="s">
        <v>71</v>
      </c>
      <c r="F1" s="4" t="s">
        <v>72</v>
      </c>
      <c r="G1" s="4" t="s">
        <v>73</v>
      </c>
      <c r="H1" s="4" t="s">
        <v>74</v>
      </c>
      <c r="I1" s="4" t="s">
        <v>75</v>
      </c>
    </row>
    <row r="2" spans="1:9" ht="15.5" x14ac:dyDescent="0.35">
      <c r="A2" s="1">
        <v>1</v>
      </c>
      <c r="B2" s="1" t="s">
        <v>3</v>
      </c>
      <c r="C2" s="1">
        <v>2022</v>
      </c>
      <c r="D2" s="8">
        <v>1.1255761473680901</v>
      </c>
      <c r="E2" s="1">
        <v>0.61111000000000004</v>
      </c>
      <c r="F2" s="1">
        <v>5</v>
      </c>
      <c r="G2" s="8">
        <v>0.77185030995685799</v>
      </c>
      <c r="H2" s="8">
        <v>0.65186895484805596</v>
      </c>
      <c r="I2" s="8">
        <v>32.757799861556691</v>
      </c>
    </row>
    <row r="3" spans="1:9" ht="15.5" x14ac:dyDescent="0.35">
      <c r="A3" s="1">
        <v>1</v>
      </c>
      <c r="B3" s="1" t="s">
        <v>3</v>
      </c>
      <c r="C3" s="1">
        <v>2023</v>
      </c>
      <c r="D3" s="8">
        <v>0.76504217664218277</v>
      </c>
      <c r="E3" s="1">
        <v>0.72221999999999997</v>
      </c>
      <c r="F3" s="1">
        <v>5</v>
      </c>
      <c r="G3" s="8">
        <v>0.60874333303000538</v>
      </c>
      <c r="H3" s="8">
        <v>0.41355977729036614</v>
      </c>
      <c r="I3" s="8">
        <v>32.713187046345325</v>
      </c>
    </row>
    <row r="4" spans="1:9" ht="15.5" x14ac:dyDescent="0.35">
      <c r="A4" s="4">
        <v>1</v>
      </c>
      <c r="B4" s="4" t="s">
        <v>3</v>
      </c>
      <c r="C4" s="4">
        <v>2024</v>
      </c>
      <c r="D4" s="9">
        <v>0.89007637019020158</v>
      </c>
      <c r="E4" s="4">
        <v>0.61111000000000004</v>
      </c>
      <c r="F4" s="4">
        <v>5</v>
      </c>
      <c r="G4" s="9">
        <v>0.40840959892284939</v>
      </c>
      <c r="H4" s="9">
        <v>0.24787500335143606</v>
      </c>
      <c r="I4" s="9">
        <v>32.314064948566468</v>
      </c>
    </row>
    <row r="5" spans="1:9" ht="15.5" x14ac:dyDescent="0.35">
      <c r="A5" s="1">
        <v>2</v>
      </c>
      <c r="B5" s="1" t="s">
        <v>69</v>
      </c>
      <c r="C5" s="1">
        <v>2022</v>
      </c>
      <c r="D5" s="8">
        <v>0.97806116394202003</v>
      </c>
      <c r="E5" s="1">
        <v>0.83333000000000002</v>
      </c>
      <c r="F5" s="1">
        <v>3</v>
      </c>
      <c r="G5" s="8">
        <v>0.68852620208194681</v>
      </c>
      <c r="H5" s="8">
        <v>2.210542930686882</v>
      </c>
      <c r="I5" s="8">
        <v>31.071052706262162</v>
      </c>
    </row>
    <row r="6" spans="1:9" ht="15.5" x14ac:dyDescent="0.35">
      <c r="A6" s="1">
        <v>2</v>
      </c>
      <c r="B6" s="1" t="s">
        <v>69</v>
      </c>
      <c r="C6" s="1">
        <v>2023</v>
      </c>
      <c r="D6" s="8">
        <v>0.92963627094352219</v>
      </c>
      <c r="E6" s="1">
        <v>0.66666999999999998</v>
      </c>
      <c r="F6" s="1">
        <v>3</v>
      </c>
      <c r="G6" s="8">
        <v>0.6481053337576228</v>
      </c>
      <c r="H6" s="8">
        <v>1.8417594693271717</v>
      </c>
      <c r="I6" s="8">
        <v>31.135000709958973</v>
      </c>
    </row>
    <row r="7" spans="1:9" ht="15.5" x14ac:dyDescent="0.35">
      <c r="A7" s="4">
        <v>2</v>
      </c>
      <c r="B7" s="4" t="s">
        <v>69</v>
      </c>
      <c r="C7" s="4">
        <v>2024</v>
      </c>
      <c r="D7" s="9">
        <v>0.88343372883445237</v>
      </c>
      <c r="E7" s="4">
        <v>0.83333000000000002</v>
      </c>
      <c r="F7" s="4">
        <v>3</v>
      </c>
      <c r="G7" s="9">
        <v>0.59566954675004702</v>
      </c>
      <c r="H7" s="9">
        <v>1.4732245418620751</v>
      </c>
      <c r="I7" s="9">
        <v>31.153453015697639</v>
      </c>
    </row>
    <row r="8" spans="1:9" ht="15.5" x14ac:dyDescent="0.35">
      <c r="A8" s="1">
        <v>3</v>
      </c>
      <c r="B8" s="1" t="s">
        <v>17</v>
      </c>
      <c r="C8" s="1">
        <v>2022</v>
      </c>
      <c r="D8" s="8">
        <v>1.5498112833319795</v>
      </c>
      <c r="E8" s="1">
        <v>0.66666999999999998</v>
      </c>
      <c r="F8" s="1">
        <v>3</v>
      </c>
      <c r="G8" s="8">
        <v>0.67570409238189155</v>
      </c>
      <c r="H8" s="8">
        <v>1.0667426161437887</v>
      </c>
      <c r="I8" s="8">
        <v>30.933782398507486</v>
      </c>
    </row>
    <row r="9" spans="1:9" ht="15.5" x14ac:dyDescent="0.35">
      <c r="A9" s="1">
        <v>3</v>
      </c>
      <c r="B9" s="1" t="s">
        <v>17</v>
      </c>
      <c r="C9" s="1">
        <v>2023</v>
      </c>
      <c r="D9" s="8">
        <v>1.5144806286895647</v>
      </c>
      <c r="E9" s="1">
        <v>0.66666999999999998</v>
      </c>
      <c r="F9" s="1">
        <v>3</v>
      </c>
      <c r="G9" s="8">
        <v>0.75186166415070466</v>
      </c>
      <c r="H9" s="8">
        <v>1.1544338568989019</v>
      </c>
      <c r="I9" s="8">
        <v>31.040670119042087</v>
      </c>
    </row>
    <row r="10" spans="1:9" ht="15.5" x14ac:dyDescent="0.35">
      <c r="A10" s="4">
        <v>3</v>
      </c>
      <c r="B10" s="4" t="s">
        <v>17</v>
      </c>
      <c r="C10" s="4">
        <v>2024</v>
      </c>
      <c r="D10" s="9">
        <v>1.2373485756986211</v>
      </c>
      <c r="E10" s="4">
        <v>0.72221999999999997</v>
      </c>
      <c r="F10" s="4">
        <v>3</v>
      </c>
      <c r="G10" s="9">
        <v>0.72037545306548079</v>
      </c>
      <c r="H10" s="9">
        <v>1.2639976344944062</v>
      </c>
      <c r="I10" s="9">
        <v>31.130816731512496</v>
      </c>
    </row>
    <row r="11" spans="1:9" ht="15.5" x14ac:dyDescent="0.35">
      <c r="A11" s="1">
        <v>4</v>
      </c>
      <c r="B11" s="1" t="s">
        <v>18</v>
      </c>
      <c r="C11" s="1">
        <v>2022</v>
      </c>
      <c r="D11" s="8">
        <v>1.2245029962153411</v>
      </c>
      <c r="E11" s="1">
        <v>0.55556000000000005</v>
      </c>
      <c r="F11" s="1">
        <v>3</v>
      </c>
      <c r="G11" s="8">
        <v>0.38710510362308109</v>
      </c>
      <c r="H11" s="8">
        <v>0.59234834593505969</v>
      </c>
      <c r="I11" s="8">
        <v>31.881310945180104</v>
      </c>
    </row>
    <row r="12" spans="1:9" ht="15.5" x14ac:dyDescent="0.35">
      <c r="A12" s="1">
        <v>4</v>
      </c>
      <c r="B12" s="1" t="s">
        <v>18</v>
      </c>
      <c r="C12" s="1">
        <v>2023</v>
      </c>
      <c r="D12" s="8">
        <v>0.82790076175920468</v>
      </c>
      <c r="E12" s="1">
        <v>0.61111000000000004</v>
      </c>
      <c r="F12" s="1">
        <v>4</v>
      </c>
      <c r="G12" s="8">
        <v>0.35803818804408588</v>
      </c>
      <c r="H12" s="8">
        <v>0.51460661808984365</v>
      </c>
      <c r="I12" s="8">
        <v>31.800139924331528</v>
      </c>
    </row>
    <row r="13" spans="1:9" ht="15.5" x14ac:dyDescent="0.35">
      <c r="A13" s="4">
        <v>4</v>
      </c>
      <c r="B13" s="4" t="s">
        <v>18</v>
      </c>
      <c r="C13" s="4">
        <v>2024</v>
      </c>
      <c r="D13" s="9">
        <v>1.0585377566236129</v>
      </c>
      <c r="E13" s="4">
        <v>0.83333000000000002</v>
      </c>
      <c r="F13" s="4">
        <v>4</v>
      </c>
      <c r="G13" s="9">
        <v>0.32465082777322823</v>
      </c>
      <c r="H13" s="9">
        <v>0.4535774733644426</v>
      </c>
      <c r="I13" s="9">
        <v>31.83797231669779</v>
      </c>
    </row>
    <row r="14" spans="1:9" ht="15.5" x14ac:dyDescent="0.35">
      <c r="A14" s="1">
        <v>5</v>
      </c>
      <c r="B14" s="1" t="s">
        <v>19</v>
      </c>
      <c r="C14" s="1">
        <v>2022</v>
      </c>
      <c r="D14" s="8">
        <v>11.772596510087542</v>
      </c>
      <c r="E14" s="1">
        <v>0.83333000000000002</v>
      </c>
      <c r="F14" s="1">
        <v>3</v>
      </c>
      <c r="G14" s="8">
        <v>0.95731452975115472</v>
      </c>
      <c r="H14" s="8">
        <v>0.97738563485511265</v>
      </c>
      <c r="I14" s="8">
        <v>31.759219666891973</v>
      </c>
    </row>
    <row r="15" spans="1:9" ht="15.5" x14ac:dyDescent="0.35">
      <c r="A15" s="1">
        <v>5</v>
      </c>
      <c r="B15" s="1" t="s">
        <v>19</v>
      </c>
      <c r="C15" s="1">
        <v>2023</v>
      </c>
      <c r="D15" s="8">
        <v>12.918193976772757</v>
      </c>
      <c r="E15" s="1">
        <v>0.83333000000000002</v>
      </c>
      <c r="F15" s="1">
        <v>3</v>
      </c>
      <c r="G15" s="8">
        <v>0.69181885460545745</v>
      </c>
      <c r="H15" s="8">
        <v>0.74059436714237381</v>
      </c>
      <c r="I15" s="8">
        <v>31.603153491083326</v>
      </c>
    </row>
    <row r="16" spans="1:9" ht="15.5" x14ac:dyDescent="0.35">
      <c r="A16" s="4">
        <v>5</v>
      </c>
      <c r="B16" s="4" t="s">
        <v>19</v>
      </c>
      <c r="C16" s="4">
        <v>2024</v>
      </c>
      <c r="D16" s="9">
        <v>12.202977832632952</v>
      </c>
      <c r="E16" s="4">
        <v>0.83333000000000002</v>
      </c>
      <c r="F16" s="4">
        <v>3</v>
      </c>
      <c r="G16" s="9">
        <v>0.60195714747796703</v>
      </c>
      <c r="H16" s="9">
        <v>0.52190828435809145</v>
      </c>
      <c r="I16" s="9">
        <v>31.672558445447262</v>
      </c>
    </row>
    <row r="17" spans="1:9" ht="15.5" x14ac:dyDescent="0.35">
      <c r="A17" s="1">
        <v>6</v>
      </c>
      <c r="B17" s="1" t="s">
        <v>20</v>
      </c>
      <c r="C17" s="1">
        <v>2022</v>
      </c>
      <c r="D17" s="8">
        <v>0.82939370015934788</v>
      </c>
      <c r="E17" s="1">
        <v>0.61111000000000004</v>
      </c>
      <c r="F17" s="1">
        <v>4</v>
      </c>
      <c r="G17" s="8">
        <v>0.69628293503438288</v>
      </c>
      <c r="H17" s="8">
        <v>1.1246606964202697</v>
      </c>
      <c r="I17" s="8">
        <v>32.25802283692498</v>
      </c>
    </row>
    <row r="18" spans="1:9" ht="15.5" x14ac:dyDescent="0.35">
      <c r="A18" s="1">
        <v>6</v>
      </c>
      <c r="B18" s="1" t="s">
        <v>20</v>
      </c>
      <c r="C18" s="1">
        <v>2023</v>
      </c>
      <c r="D18" s="8">
        <v>1.4825502698083624</v>
      </c>
      <c r="E18" s="1">
        <v>0.72221999999999997</v>
      </c>
      <c r="F18" s="1">
        <v>4</v>
      </c>
      <c r="G18" s="8">
        <v>0.63976832333387801</v>
      </c>
      <c r="H18" s="8">
        <v>0.78012900044223576</v>
      </c>
      <c r="I18" s="8">
        <v>31.485911004774763</v>
      </c>
    </row>
    <row r="19" spans="1:9" ht="15.5" x14ac:dyDescent="0.35">
      <c r="A19" s="4">
        <v>6</v>
      </c>
      <c r="B19" s="4" t="s">
        <v>20</v>
      </c>
      <c r="C19" s="4">
        <v>2024</v>
      </c>
      <c r="D19" s="9">
        <v>4.3086447910771302</v>
      </c>
      <c r="E19" s="4">
        <v>0.83333000000000002</v>
      </c>
      <c r="F19" s="4">
        <v>4</v>
      </c>
      <c r="G19" s="9">
        <v>0.71296584540374086</v>
      </c>
      <c r="H19" s="9">
        <v>0.90116816030679125</v>
      </c>
      <c r="I19" s="9">
        <v>31.720683763204349</v>
      </c>
    </row>
    <row r="20" spans="1:9" ht="15.5" x14ac:dyDescent="0.35">
      <c r="A20" s="1">
        <v>7</v>
      </c>
      <c r="B20" s="1" t="s">
        <v>22</v>
      </c>
      <c r="C20" s="1">
        <v>2022</v>
      </c>
      <c r="D20" s="8">
        <v>0.96133395170148683</v>
      </c>
      <c r="E20" s="1">
        <v>0.77778000000000003</v>
      </c>
      <c r="F20" s="1">
        <v>3</v>
      </c>
      <c r="G20" s="8">
        <v>0.60761447714256422</v>
      </c>
      <c r="H20" s="8">
        <v>1.319420133629533</v>
      </c>
      <c r="I20" s="8">
        <v>30.553824342517068</v>
      </c>
    </row>
    <row r="21" spans="1:9" ht="15.5" x14ac:dyDescent="0.35">
      <c r="A21" s="1">
        <v>7</v>
      </c>
      <c r="B21" s="1" t="s">
        <v>22</v>
      </c>
      <c r="C21" s="1">
        <v>2023</v>
      </c>
      <c r="D21" s="8">
        <v>0.83131847740880882</v>
      </c>
      <c r="E21" s="1">
        <v>0.72221999999999997</v>
      </c>
      <c r="F21" s="1">
        <v>4</v>
      </c>
      <c r="G21" s="8">
        <v>0.63275848191915995</v>
      </c>
      <c r="H21" s="8">
        <v>1.3393358136254025</v>
      </c>
      <c r="I21" s="8">
        <v>30.680330164166833</v>
      </c>
    </row>
    <row r="22" spans="1:9" ht="15.5" x14ac:dyDescent="0.35">
      <c r="A22" s="4">
        <v>7</v>
      </c>
      <c r="B22" s="4" t="s">
        <v>22</v>
      </c>
      <c r="C22" s="4">
        <v>2024</v>
      </c>
      <c r="D22" s="9">
        <v>0.80804662075795797</v>
      </c>
      <c r="E22" s="4">
        <v>0.77778000000000003</v>
      </c>
      <c r="F22" s="4">
        <v>4</v>
      </c>
      <c r="G22" s="9">
        <v>0.61880249941654197</v>
      </c>
      <c r="H22" s="9">
        <v>1.4093150577400468</v>
      </c>
      <c r="I22" s="9">
        <v>30.873169169483511</v>
      </c>
    </row>
    <row r="23" spans="1:9" ht="15.5" x14ac:dyDescent="0.35">
      <c r="A23" s="1">
        <v>8</v>
      </c>
      <c r="B23" s="1" t="s">
        <v>23</v>
      </c>
      <c r="C23" s="1">
        <v>2022</v>
      </c>
      <c r="D23" s="8">
        <v>2.8404154750605235</v>
      </c>
      <c r="E23" s="1">
        <v>0.77778000000000003</v>
      </c>
      <c r="F23" s="1">
        <v>4</v>
      </c>
      <c r="G23" s="8">
        <v>0.79749594345626595</v>
      </c>
      <c r="H23" s="8">
        <v>1.0225663179185498</v>
      </c>
      <c r="I23" s="8">
        <v>30.508063571720477</v>
      </c>
    </row>
    <row r="24" spans="1:9" ht="15.5" x14ac:dyDescent="0.35">
      <c r="A24" s="1">
        <v>8</v>
      </c>
      <c r="B24" s="1" t="s">
        <v>23</v>
      </c>
      <c r="C24" s="1">
        <v>2023</v>
      </c>
      <c r="D24" s="8">
        <v>2.1813797993418289</v>
      </c>
      <c r="E24" s="1">
        <v>0.77778000000000003</v>
      </c>
      <c r="F24" s="1">
        <v>4</v>
      </c>
      <c r="G24" s="8">
        <v>0.7373430296827066</v>
      </c>
      <c r="H24" s="8">
        <v>0.97861307420264232</v>
      </c>
      <c r="I24" s="8">
        <v>30.638011935977062</v>
      </c>
    </row>
    <row r="25" spans="1:9" ht="15.5" x14ac:dyDescent="0.35">
      <c r="A25" s="4">
        <v>8</v>
      </c>
      <c r="B25" s="4" t="s">
        <v>23</v>
      </c>
      <c r="C25" s="4">
        <v>2024</v>
      </c>
      <c r="D25" s="9">
        <v>3.5863508520737493</v>
      </c>
      <c r="E25" s="4">
        <v>0.88888999999999996</v>
      </c>
      <c r="F25" s="4">
        <v>3</v>
      </c>
      <c r="G25" s="9">
        <v>0.73039171708804651</v>
      </c>
      <c r="H25" s="9">
        <v>0.87493510351671155</v>
      </c>
      <c r="I25" s="9">
        <v>30.628449991324057</v>
      </c>
    </row>
    <row r="26" spans="1:9" ht="15.5" x14ac:dyDescent="0.35">
      <c r="A26" s="1">
        <v>9</v>
      </c>
      <c r="B26" s="1" t="s">
        <v>24</v>
      </c>
      <c r="C26" s="1">
        <v>2022</v>
      </c>
      <c r="D26" s="8">
        <v>1.3126667037148732</v>
      </c>
      <c r="E26" s="1">
        <v>0.72221999999999997</v>
      </c>
      <c r="F26" s="1">
        <v>3</v>
      </c>
      <c r="G26" s="8">
        <v>0.51381693547702989</v>
      </c>
      <c r="H26" s="8">
        <v>0.28876477938890388</v>
      </c>
      <c r="I26" s="8">
        <v>30.632581121255068</v>
      </c>
    </row>
    <row r="27" spans="1:9" ht="15.5" x14ac:dyDescent="0.35">
      <c r="A27" s="1">
        <v>9</v>
      </c>
      <c r="B27" s="1" t="s">
        <v>24</v>
      </c>
      <c r="C27" s="1">
        <v>2023</v>
      </c>
      <c r="D27" s="8">
        <v>0.99750448816600434</v>
      </c>
      <c r="E27" s="1">
        <v>0.61111000000000004</v>
      </c>
      <c r="F27" s="1">
        <v>4</v>
      </c>
      <c r="G27" s="8">
        <v>0.37691766897809359</v>
      </c>
      <c r="H27" s="8">
        <v>0.39020921275355341</v>
      </c>
      <c r="I27" s="8">
        <v>30.856911500025912</v>
      </c>
    </row>
    <row r="28" spans="1:9" ht="15.5" x14ac:dyDescent="0.35">
      <c r="A28" s="4">
        <v>9</v>
      </c>
      <c r="B28" s="4" t="s">
        <v>24</v>
      </c>
      <c r="C28" s="4">
        <v>2024</v>
      </c>
      <c r="D28" s="9">
        <v>0.64383236125511012</v>
      </c>
      <c r="E28" s="4">
        <v>0.83333000000000002</v>
      </c>
      <c r="F28" s="4">
        <v>4</v>
      </c>
      <c r="G28" s="9">
        <v>0.35356838737797652</v>
      </c>
      <c r="H28" s="9">
        <v>0.44421650983252042</v>
      </c>
      <c r="I28" s="9">
        <v>31.359354448436214</v>
      </c>
    </row>
    <row r="29" spans="1:9" ht="15.5" x14ac:dyDescent="0.35">
      <c r="A29" s="1">
        <v>10</v>
      </c>
      <c r="B29" s="1" t="s">
        <v>51</v>
      </c>
      <c r="C29" s="1">
        <v>2022</v>
      </c>
      <c r="D29" s="8">
        <v>1.3230025917697374</v>
      </c>
      <c r="E29" s="1">
        <v>0.83333000000000002</v>
      </c>
      <c r="F29" s="1">
        <v>4</v>
      </c>
      <c r="G29" s="8">
        <v>0.80306130990460112</v>
      </c>
      <c r="H29" s="8">
        <v>0.35374253953278506</v>
      </c>
      <c r="I29" s="8">
        <v>31.357500364134239</v>
      </c>
    </row>
    <row r="30" spans="1:9" ht="15.5" x14ac:dyDescent="0.35">
      <c r="A30" s="1">
        <v>10</v>
      </c>
      <c r="B30" s="1" t="s">
        <v>51</v>
      </c>
      <c r="C30" s="1">
        <v>2023</v>
      </c>
      <c r="D30" s="8">
        <v>1.0418184790046912</v>
      </c>
      <c r="E30" s="1">
        <v>0.88888999999999996</v>
      </c>
      <c r="F30" s="1">
        <v>4</v>
      </c>
      <c r="G30" s="8">
        <v>0.57154636498804534</v>
      </c>
      <c r="H30" s="8">
        <v>0.2232586355351292</v>
      </c>
      <c r="I30" s="8">
        <v>31.149345002281493</v>
      </c>
    </row>
    <row r="31" spans="1:9" ht="15.5" x14ac:dyDescent="0.35">
      <c r="A31" s="4">
        <v>10</v>
      </c>
      <c r="B31" s="4" t="s">
        <v>51</v>
      </c>
      <c r="C31" s="4">
        <v>2024</v>
      </c>
      <c r="D31" s="9">
        <v>0.97209797193179637</v>
      </c>
      <c r="E31" s="4">
        <v>0.94443999999999995</v>
      </c>
      <c r="F31" s="4">
        <v>4</v>
      </c>
      <c r="G31" s="9">
        <v>0.60796644482710471</v>
      </c>
      <c r="H31" s="9">
        <v>0.24445731483444599</v>
      </c>
      <c r="I31" s="9">
        <v>31.291875617148353</v>
      </c>
    </row>
    <row r="32" spans="1:9" ht="15.5" x14ac:dyDescent="0.35">
      <c r="A32" s="1">
        <v>11</v>
      </c>
      <c r="B32" s="1" t="s">
        <v>52</v>
      </c>
      <c r="C32" s="1">
        <v>2022</v>
      </c>
      <c r="D32" s="8">
        <v>1.0246694059576724</v>
      </c>
      <c r="E32" s="1">
        <v>0.55556000000000005</v>
      </c>
      <c r="F32" s="1">
        <v>3</v>
      </c>
      <c r="G32" s="8">
        <v>0.53331804993739451</v>
      </c>
      <c r="H32" s="8">
        <v>0.38430026810663331</v>
      </c>
      <c r="I32" s="8">
        <v>28.615783383883564</v>
      </c>
    </row>
    <row r="33" spans="1:9" ht="15.5" x14ac:dyDescent="0.35">
      <c r="A33" s="1">
        <v>11</v>
      </c>
      <c r="B33" s="1" t="s">
        <v>52</v>
      </c>
      <c r="C33" s="1">
        <v>2023</v>
      </c>
      <c r="D33" s="8">
        <v>0.90034662863501458</v>
      </c>
      <c r="E33" s="1">
        <v>0.55556000000000005</v>
      </c>
      <c r="F33" s="1">
        <v>3</v>
      </c>
      <c r="G33" s="8">
        <v>0.53004984726974469</v>
      </c>
      <c r="H33" s="8">
        <v>0.43918196108405028</v>
      </c>
      <c r="I33" s="8">
        <v>28.75966834232208</v>
      </c>
    </row>
    <row r="34" spans="1:9" ht="15.5" x14ac:dyDescent="0.35">
      <c r="A34" s="4">
        <v>11</v>
      </c>
      <c r="B34" s="4" t="s">
        <v>52</v>
      </c>
      <c r="C34" s="4">
        <v>2024</v>
      </c>
      <c r="D34" s="9">
        <v>1.0370878219082023</v>
      </c>
      <c r="E34" s="4">
        <v>0.61111000000000004</v>
      </c>
      <c r="F34" s="4">
        <v>3</v>
      </c>
      <c r="G34" s="9">
        <v>0.55661340722569519</v>
      </c>
      <c r="H34" s="9">
        <v>0.29909986954170636</v>
      </c>
      <c r="I34" s="9">
        <v>28.848105085227836</v>
      </c>
    </row>
    <row r="35" spans="1:9" ht="15.5" x14ac:dyDescent="0.35">
      <c r="A35" s="1">
        <v>12</v>
      </c>
      <c r="B35" s="1" t="s">
        <v>55</v>
      </c>
      <c r="C35" s="1">
        <v>2022</v>
      </c>
      <c r="D35" s="8">
        <v>0.98186792787706367</v>
      </c>
      <c r="E35" s="1">
        <v>0.77778000000000003</v>
      </c>
      <c r="F35" s="1">
        <v>5</v>
      </c>
      <c r="G35" s="8">
        <v>0.83445811876209985</v>
      </c>
      <c r="H35" s="8">
        <v>2.9667119709820664</v>
      </c>
      <c r="I35" s="8">
        <v>32.322789190128951</v>
      </c>
    </row>
    <row r="36" spans="1:9" ht="15.5" x14ac:dyDescent="0.35">
      <c r="A36" s="1">
        <v>12</v>
      </c>
      <c r="B36" s="1" t="s">
        <v>55</v>
      </c>
      <c r="C36" s="1">
        <v>2023</v>
      </c>
      <c r="D36" s="8">
        <v>0.98065326533430475</v>
      </c>
      <c r="E36" s="1">
        <v>0.83333000000000002</v>
      </c>
      <c r="F36" s="1">
        <v>5</v>
      </c>
      <c r="G36" s="8">
        <v>0.77590035307595517</v>
      </c>
      <c r="H36" s="8">
        <v>2.6833354861948258</v>
      </c>
      <c r="I36" s="8">
        <v>32.377096621716234</v>
      </c>
    </row>
    <row r="37" spans="1:9" ht="15.5" x14ac:dyDescent="0.35">
      <c r="A37" s="4">
        <v>12</v>
      </c>
      <c r="B37" s="4" t="s">
        <v>55</v>
      </c>
      <c r="C37" s="4">
        <v>2024</v>
      </c>
      <c r="D37" s="9">
        <v>0.91923334105882226</v>
      </c>
      <c r="E37" s="4">
        <v>0.83333000000000002</v>
      </c>
      <c r="F37" s="4">
        <v>5</v>
      </c>
      <c r="G37" s="9">
        <v>0.78377307593808254</v>
      </c>
      <c r="H37" s="9">
        <v>2.371664791541555</v>
      </c>
      <c r="I37" s="9">
        <v>32.483944746920145</v>
      </c>
    </row>
    <row r="38" spans="1:9" ht="15.5" x14ac:dyDescent="0.35">
      <c r="A38" s="1">
        <v>13</v>
      </c>
      <c r="B38" s="1" t="s">
        <v>56</v>
      </c>
      <c r="C38" s="1">
        <v>2022</v>
      </c>
      <c r="D38" s="8">
        <v>0.9015527163150161</v>
      </c>
      <c r="E38" s="1">
        <v>0.88888999999999996</v>
      </c>
      <c r="F38" s="1">
        <v>4</v>
      </c>
      <c r="G38" s="8">
        <v>0.72284104585374498</v>
      </c>
      <c r="H38" s="8">
        <v>1.0904530167009927</v>
      </c>
      <c r="I38" s="8">
        <v>32.360021259971248</v>
      </c>
    </row>
    <row r="39" spans="1:9" ht="15.5" x14ac:dyDescent="0.35">
      <c r="A39" s="1">
        <v>13</v>
      </c>
      <c r="B39" s="1" t="s">
        <v>56</v>
      </c>
      <c r="C39" s="1">
        <v>2023</v>
      </c>
      <c r="D39" s="8">
        <v>0.72851633471571653</v>
      </c>
      <c r="E39" s="1">
        <v>0.88888999999999996</v>
      </c>
      <c r="F39" s="1">
        <v>4</v>
      </c>
      <c r="G39" s="8">
        <v>0.65213081704323705</v>
      </c>
      <c r="H39" s="8">
        <v>0.86397926087617649</v>
      </c>
      <c r="I39" s="8">
        <v>32.254872150327152</v>
      </c>
    </row>
    <row r="40" spans="1:9" ht="15.5" x14ac:dyDescent="0.35">
      <c r="A40" s="4">
        <v>13</v>
      </c>
      <c r="B40" s="4" t="s">
        <v>56</v>
      </c>
      <c r="C40" s="4">
        <v>2024</v>
      </c>
      <c r="D40" s="9">
        <v>0.80397090202124566</v>
      </c>
      <c r="E40" s="4">
        <v>0.88888999999999996</v>
      </c>
      <c r="F40" s="4">
        <v>5</v>
      </c>
      <c r="G40" s="9">
        <v>0.64333496702755499</v>
      </c>
      <c r="H40" s="9">
        <v>0.74748796174273502</v>
      </c>
      <c r="I40" s="9">
        <v>32.272161543657013</v>
      </c>
    </row>
    <row r="41" spans="1:9" ht="15.5" x14ac:dyDescent="0.35">
      <c r="A41" s="1">
        <v>14</v>
      </c>
      <c r="B41" s="1" t="s">
        <v>57</v>
      </c>
      <c r="C41" s="1">
        <v>2022</v>
      </c>
      <c r="D41" s="8">
        <v>1.2970500344064657</v>
      </c>
      <c r="E41" s="1">
        <v>0.83333000000000002</v>
      </c>
      <c r="F41" s="1">
        <v>5</v>
      </c>
      <c r="G41" s="8">
        <v>0.51750252159390708</v>
      </c>
      <c r="H41" s="8">
        <v>0.5686517790157064</v>
      </c>
      <c r="I41" s="8">
        <v>31.445634292831912</v>
      </c>
    </row>
    <row r="42" spans="1:9" ht="15.5" x14ac:dyDescent="0.35">
      <c r="A42" s="1">
        <v>14</v>
      </c>
      <c r="B42" s="1" t="s">
        <v>57</v>
      </c>
      <c r="C42" s="1">
        <v>2023</v>
      </c>
      <c r="D42" s="8">
        <v>1.1668198754299894</v>
      </c>
      <c r="E42" s="1">
        <v>0.94443999999999995</v>
      </c>
      <c r="F42" s="1">
        <v>5</v>
      </c>
      <c r="G42" s="8">
        <v>0.55051608287012344</v>
      </c>
      <c r="H42" s="8">
        <v>0.79774783849295805</v>
      </c>
      <c r="I42" s="8">
        <v>31.288543769119638</v>
      </c>
    </row>
    <row r="43" spans="1:9" ht="15.5" x14ac:dyDescent="0.35">
      <c r="A43" s="4">
        <v>14</v>
      </c>
      <c r="B43" s="4" t="s">
        <v>57</v>
      </c>
      <c r="C43" s="4">
        <v>2024</v>
      </c>
      <c r="D43" s="9">
        <v>1.2154182646891478</v>
      </c>
      <c r="E43" s="4">
        <v>0.88888999999999996</v>
      </c>
      <c r="F43" s="4">
        <v>5</v>
      </c>
      <c r="G43" s="9">
        <v>0.55772909921347691</v>
      </c>
      <c r="H43" s="9">
        <v>0.84837844440679866</v>
      </c>
      <c r="I43" s="9">
        <v>31.365216467836561</v>
      </c>
    </row>
    <row r="44" spans="1:9" ht="15.5" x14ac:dyDescent="0.35">
      <c r="A44" s="1">
        <v>15</v>
      </c>
      <c r="B44" s="1" t="s">
        <v>58</v>
      </c>
      <c r="C44" s="1">
        <v>2022</v>
      </c>
      <c r="D44" s="8">
        <v>0.96586737787409016</v>
      </c>
      <c r="E44" s="1">
        <v>0.72221999999999997</v>
      </c>
      <c r="F44" s="1">
        <v>3</v>
      </c>
      <c r="G44" s="8">
        <v>0.60391837966533646</v>
      </c>
      <c r="H44" s="8">
        <v>1.001469843048951</v>
      </c>
      <c r="I44" s="8">
        <v>29.86984424165567</v>
      </c>
    </row>
    <row r="45" spans="1:9" ht="15.5" x14ac:dyDescent="0.35">
      <c r="A45" s="1">
        <v>15</v>
      </c>
      <c r="B45" s="1" t="s">
        <v>58</v>
      </c>
      <c r="C45" s="1">
        <v>2023</v>
      </c>
      <c r="D45" s="8">
        <v>1.1481857424895483</v>
      </c>
      <c r="E45" s="1">
        <v>0.72221999999999997</v>
      </c>
      <c r="F45" s="1">
        <v>3</v>
      </c>
      <c r="G45" s="8">
        <v>0.77657240588231247</v>
      </c>
      <c r="H45" s="8">
        <v>2.0893561940330181</v>
      </c>
      <c r="I45" s="8">
        <v>30.048897263950611</v>
      </c>
    </row>
    <row r="46" spans="1:9" ht="15.5" x14ac:dyDescent="0.35">
      <c r="A46" s="4">
        <v>15</v>
      </c>
      <c r="B46" s="4" t="s">
        <v>58</v>
      </c>
      <c r="C46" s="4">
        <v>2024</v>
      </c>
      <c r="D46" s="9">
        <v>2.6999317936118246</v>
      </c>
      <c r="E46" s="4">
        <v>0.72221999999999997</v>
      </c>
      <c r="F46" s="4">
        <v>3</v>
      </c>
      <c r="G46" s="9">
        <v>0.84453540728612364</v>
      </c>
      <c r="H46" s="9">
        <v>2.4725325325325325</v>
      </c>
      <c r="I46" s="9">
        <v>30.271273226508686</v>
      </c>
    </row>
    <row r="47" spans="1:9" ht="15.5" x14ac:dyDescent="0.35">
      <c r="A47" s="1">
        <v>16</v>
      </c>
      <c r="B47" s="1" t="s">
        <v>59</v>
      </c>
      <c r="C47" s="1">
        <v>2022</v>
      </c>
      <c r="D47" s="8">
        <v>0.87389283379315064</v>
      </c>
      <c r="E47" s="1">
        <v>0.72221999999999997</v>
      </c>
      <c r="F47" s="1">
        <v>3</v>
      </c>
      <c r="G47" s="8">
        <v>0.64594081610952769</v>
      </c>
      <c r="H47" s="8">
        <v>1.1225105263137896</v>
      </c>
      <c r="I47" s="8">
        <v>30.280548673841231</v>
      </c>
    </row>
    <row r="48" spans="1:9" ht="15.5" x14ac:dyDescent="0.35">
      <c r="A48" s="1">
        <v>16</v>
      </c>
      <c r="B48" s="1" t="s">
        <v>59</v>
      </c>
      <c r="C48" s="1">
        <v>2023</v>
      </c>
      <c r="D48" s="8">
        <v>0.72165556194113967</v>
      </c>
      <c r="E48" s="1">
        <v>0.77778000000000003</v>
      </c>
      <c r="F48" s="1">
        <v>3</v>
      </c>
      <c r="G48" s="8">
        <v>0.60603750729787365</v>
      </c>
      <c r="H48" s="8">
        <v>1.2371143911925966</v>
      </c>
      <c r="I48" s="8">
        <v>30.312855082665948</v>
      </c>
    </row>
    <row r="49" spans="1:9" ht="15.5" x14ac:dyDescent="0.35">
      <c r="A49" s="4">
        <v>16</v>
      </c>
      <c r="B49" s="4" t="s">
        <v>59</v>
      </c>
      <c r="C49" s="4">
        <v>2024</v>
      </c>
      <c r="D49" s="9">
        <v>0.73647472589177931</v>
      </c>
      <c r="E49" s="4">
        <v>0.83333000000000002</v>
      </c>
      <c r="F49" s="4">
        <v>3</v>
      </c>
      <c r="G49" s="9">
        <v>0.58731852115527328</v>
      </c>
      <c r="H49" s="9">
        <v>1.0467541273451901</v>
      </c>
      <c r="I49" s="9">
        <v>30.30133921752655</v>
      </c>
    </row>
    <row r="50" spans="1:9" ht="15.5" x14ac:dyDescent="0.35">
      <c r="A50" s="1">
        <v>17</v>
      </c>
      <c r="B50" s="1" t="s">
        <v>60</v>
      </c>
      <c r="C50" s="1">
        <v>2022</v>
      </c>
      <c r="D50" s="8">
        <v>3.9812296874219735</v>
      </c>
      <c r="E50" s="1">
        <v>0.66666999999999998</v>
      </c>
      <c r="F50" s="1">
        <v>3</v>
      </c>
      <c r="G50" s="8">
        <v>0.9549787485669754</v>
      </c>
      <c r="H50" s="8">
        <v>1.2599816158443014</v>
      </c>
      <c r="I50" s="8">
        <v>30.638676731207855</v>
      </c>
    </row>
    <row r="51" spans="1:9" ht="15.5" x14ac:dyDescent="0.35">
      <c r="A51" s="1">
        <v>17</v>
      </c>
      <c r="B51" s="1" t="s">
        <v>60</v>
      </c>
      <c r="C51" s="1">
        <v>2023</v>
      </c>
      <c r="D51" s="8">
        <v>2.5150180749483328</v>
      </c>
      <c r="E51" s="1">
        <v>0.77778000000000003</v>
      </c>
      <c r="F51" s="1">
        <v>3</v>
      </c>
      <c r="G51" s="8">
        <v>0.73361953599102392</v>
      </c>
      <c r="H51" s="8">
        <v>0.63327482374281885</v>
      </c>
      <c r="I51" s="8">
        <v>30.894357318296791</v>
      </c>
    </row>
    <row r="52" spans="1:9" ht="15.5" x14ac:dyDescent="0.35">
      <c r="A52" s="4">
        <v>17</v>
      </c>
      <c r="B52" s="4" t="s">
        <v>60</v>
      </c>
      <c r="C52" s="4">
        <v>2024</v>
      </c>
      <c r="D52" s="9">
        <v>1.7393814355360679</v>
      </c>
      <c r="E52" s="4">
        <v>0.83333000000000002</v>
      </c>
      <c r="F52" s="4">
        <v>3</v>
      </c>
      <c r="G52" s="9">
        <v>0.57095850382688829</v>
      </c>
      <c r="H52" s="9">
        <v>0.38031356181060622</v>
      </c>
      <c r="I52" s="9">
        <v>31.142967622459494</v>
      </c>
    </row>
    <row r="53" spans="1:9" ht="15.5" x14ac:dyDescent="0.35">
      <c r="A53" s="1">
        <v>18</v>
      </c>
      <c r="B53" s="1" t="s">
        <v>61</v>
      </c>
      <c r="C53" s="1">
        <v>2022</v>
      </c>
      <c r="D53" s="8">
        <v>2.7329284332836288</v>
      </c>
      <c r="E53" s="1">
        <v>0.55556000000000005</v>
      </c>
      <c r="F53" s="1">
        <v>2</v>
      </c>
      <c r="G53" s="8">
        <v>0.32044771344196538</v>
      </c>
      <c r="H53" s="8">
        <v>0.38964531032568717</v>
      </c>
      <c r="I53" s="8">
        <v>28.147929429619641</v>
      </c>
    </row>
    <row r="54" spans="1:9" ht="15.5" x14ac:dyDescent="0.35">
      <c r="A54" s="1">
        <v>18</v>
      </c>
      <c r="B54" s="1" t="s">
        <v>61</v>
      </c>
      <c r="C54" s="1">
        <v>2023</v>
      </c>
      <c r="D54" s="8">
        <v>1.4975285807266345</v>
      </c>
      <c r="E54" s="1">
        <v>0.55556000000000005</v>
      </c>
      <c r="F54" s="1">
        <v>3</v>
      </c>
      <c r="G54" s="8">
        <v>0.34623401156604533</v>
      </c>
      <c r="H54" s="8">
        <v>0.5137700532206847</v>
      </c>
      <c r="I54" s="8">
        <v>28.440926354381261</v>
      </c>
    </row>
    <row r="55" spans="1:9" ht="15.5" x14ac:dyDescent="0.35">
      <c r="A55" s="4">
        <v>18</v>
      </c>
      <c r="B55" s="4" t="s">
        <v>61</v>
      </c>
      <c r="C55" s="4">
        <v>2024</v>
      </c>
      <c r="D55" s="9">
        <v>1.1895836621374383</v>
      </c>
      <c r="E55" s="4">
        <v>0.55556000000000005</v>
      </c>
      <c r="F55" s="4">
        <v>3</v>
      </c>
      <c r="G55" s="9">
        <v>0.28924051421623143</v>
      </c>
      <c r="H55" s="9">
        <v>0.37141704540074799</v>
      </c>
      <c r="I55" s="9">
        <v>28.494506634167362</v>
      </c>
    </row>
    <row r="56" spans="1:9" ht="15.5" x14ac:dyDescent="0.35">
      <c r="A56" s="1">
        <v>19</v>
      </c>
      <c r="B56" s="1" t="s">
        <v>62</v>
      </c>
      <c r="C56" s="1">
        <v>2022</v>
      </c>
      <c r="D56" s="8">
        <v>2.3746203761658138</v>
      </c>
      <c r="E56" s="1">
        <v>0.72221999999999997</v>
      </c>
      <c r="F56" s="1">
        <v>3</v>
      </c>
      <c r="G56" s="8">
        <v>0.5881798301958121</v>
      </c>
      <c r="H56" s="8">
        <v>0.29634385016313541</v>
      </c>
      <c r="I56" s="8">
        <v>30.078262002664697</v>
      </c>
    </row>
    <row r="57" spans="1:9" ht="15.5" x14ac:dyDescent="0.35">
      <c r="A57" s="1">
        <v>19</v>
      </c>
      <c r="B57" s="1" t="s">
        <v>62</v>
      </c>
      <c r="C57" s="1">
        <v>2023</v>
      </c>
      <c r="D57" s="8">
        <v>1.9632117449402091</v>
      </c>
      <c r="E57" s="1">
        <v>0.72221999999999997</v>
      </c>
      <c r="F57" s="1">
        <v>3</v>
      </c>
      <c r="G57" s="8">
        <v>0.51319362975625948</v>
      </c>
      <c r="H57" s="8">
        <v>0.27185215268120944</v>
      </c>
      <c r="I57" s="8">
        <v>30.071889513521786</v>
      </c>
    </row>
    <row r="58" spans="1:9" ht="15.5" x14ac:dyDescent="0.35">
      <c r="A58" s="4">
        <v>19</v>
      </c>
      <c r="B58" s="4" t="s">
        <v>62</v>
      </c>
      <c r="C58" s="4">
        <v>2024</v>
      </c>
      <c r="D58" s="9">
        <v>1.7695925345627557</v>
      </c>
      <c r="E58" s="4">
        <v>0.77778000000000003</v>
      </c>
      <c r="F58" s="4">
        <v>3</v>
      </c>
      <c r="G58" s="9">
        <v>0.43361174396239122</v>
      </c>
      <c r="H58" s="9">
        <v>0.30516939706813601</v>
      </c>
      <c r="I58" s="9">
        <v>30.138215577803496</v>
      </c>
    </row>
    <row r="59" spans="1:9" ht="15.5" x14ac:dyDescent="0.35">
      <c r="A59" s="1">
        <v>20</v>
      </c>
      <c r="B59" s="1" t="s">
        <v>63</v>
      </c>
      <c r="C59" s="1">
        <v>2022</v>
      </c>
      <c r="D59" s="8">
        <v>1.0291268530245803</v>
      </c>
      <c r="E59" s="1">
        <v>0.77778000000000003</v>
      </c>
      <c r="F59" s="1">
        <v>3</v>
      </c>
      <c r="G59" s="8">
        <v>0.50470309532416302</v>
      </c>
      <c r="H59" s="8">
        <v>0.23540777631032386</v>
      </c>
      <c r="I59" s="8">
        <v>27.895310747225647</v>
      </c>
    </row>
    <row r="60" spans="1:9" ht="15.5" x14ac:dyDescent="0.35">
      <c r="A60" s="1">
        <v>20</v>
      </c>
      <c r="B60" s="1" t="s">
        <v>63</v>
      </c>
      <c r="C60" s="1">
        <v>2023</v>
      </c>
      <c r="D60" s="8">
        <v>0.92632764547894675</v>
      </c>
      <c r="E60" s="1">
        <v>0.72221999999999997</v>
      </c>
      <c r="F60" s="1">
        <v>3</v>
      </c>
      <c r="G60" s="8">
        <v>0.40594796985839576</v>
      </c>
      <c r="H60" s="8">
        <v>5.8699021027578423E-2</v>
      </c>
      <c r="I60" s="8">
        <v>27.771565929171629</v>
      </c>
    </row>
    <row r="61" spans="1:9" ht="15.5" x14ac:dyDescent="0.35">
      <c r="A61" s="4">
        <v>20</v>
      </c>
      <c r="B61" s="4" t="s">
        <v>63</v>
      </c>
      <c r="C61" s="4">
        <v>2024</v>
      </c>
      <c r="D61" s="9">
        <v>0.75151647011821932</v>
      </c>
      <c r="E61" s="4">
        <v>0.72221999999999997</v>
      </c>
      <c r="F61" s="4">
        <v>3</v>
      </c>
      <c r="G61" s="9">
        <v>0.44956952764434982</v>
      </c>
      <c r="H61" s="9">
        <v>6.3787902181249426E-2</v>
      </c>
      <c r="I61" s="9">
        <v>27.780590995033087</v>
      </c>
    </row>
    <row r="62" spans="1:9" ht="15.5" x14ac:dyDescent="0.35">
      <c r="A62" s="1">
        <v>21</v>
      </c>
      <c r="B62" s="1" t="s">
        <v>64</v>
      </c>
      <c r="C62" s="1">
        <v>2022</v>
      </c>
      <c r="D62" s="8">
        <v>2.2385018388859579</v>
      </c>
      <c r="E62" s="1">
        <v>0.66666999999999998</v>
      </c>
      <c r="F62" s="1">
        <v>4</v>
      </c>
      <c r="G62" s="8">
        <v>0.67162280177656775</v>
      </c>
      <c r="H62" s="8">
        <v>0.83615412862432115</v>
      </c>
      <c r="I62" s="8">
        <v>29.482369253134582</v>
      </c>
    </row>
    <row r="63" spans="1:9" ht="15.5" x14ac:dyDescent="0.35">
      <c r="A63" s="1">
        <v>21</v>
      </c>
      <c r="B63" s="1" t="s">
        <v>64</v>
      </c>
      <c r="C63" s="1">
        <v>2023</v>
      </c>
      <c r="D63" s="8">
        <v>2.0102956970703247</v>
      </c>
      <c r="E63" s="1">
        <v>0.66666999999999998</v>
      </c>
      <c r="F63" s="1">
        <v>3</v>
      </c>
      <c r="G63" s="8">
        <v>0.5179583140571179</v>
      </c>
      <c r="H63" s="8">
        <v>0.68446364547915972</v>
      </c>
      <c r="I63" s="8">
        <v>29.471052471768502</v>
      </c>
    </row>
    <row r="64" spans="1:9" ht="15.5" x14ac:dyDescent="0.35">
      <c r="A64" s="4">
        <v>21</v>
      </c>
      <c r="B64" s="4" t="s">
        <v>64</v>
      </c>
      <c r="C64" s="4">
        <v>2024</v>
      </c>
      <c r="D64" s="9">
        <v>2.267206876523939</v>
      </c>
      <c r="E64" s="4">
        <v>0.77778000000000003</v>
      </c>
      <c r="F64" s="4">
        <v>3</v>
      </c>
      <c r="G64" s="9">
        <v>0.40440588634609642</v>
      </c>
      <c r="H64" s="9">
        <v>0.45082529555591105</v>
      </c>
      <c r="I64" s="9">
        <v>29.454273833863116</v>
      </c>
    </row>
    <row r="65" spans="1:9" ht="15.5" x14ac:dyDescent="0.35">
      <c r="A65" s="1">
        <v>22</v>
      </c>
      <c r="B65" s="1" t="s">
        <v>67</v>
      </c>
      <c r="C65" s="1">
        <v>2022</v>
      </c>
      <c r="D65" s="8">
        <v>1.8717093408956422</v>
      </c>
      <c r="E65" s="1">
        <v>0.61111000000000004</v>
      </c>
      <c r="F65" s="1">
        <v>3</v>
      </c>
      <c r="G65" s="8">
        <v>0.21020265429222063</v>
      </c>
      <c r="H65" s="8">
        <v>0.16319916502262094</v>
      </c>
      <c r="I65" s="8">
        <v>27.798950251354558</v>
      </c>
    </row>
    <row r="66" spans="1:9" ht="15.5" x14ac:dyDescent="0.35">
      <c r="A66" s="1">
        <v>22</v>
      </c>
      <c r="B66" s="1" t="s">
        <v>67</v>
      </c>
      <c r="C66" s="1">
        <v>2023</v>
      </c>
      <c r="D66" s="8">
        <v>3.1138536969957449</v>
      </c>
      <c r="E66" s="1">
        <v>0.77778000000000003</v>
      </c>
      <c r="F66" s="1">
        <v>3</v>
      </c>
      <c r="G66" s="8">
        <v>0.25025865155976501</v>
      </c>
      <c r="H66" s="8">
        <v>0.26057990546173715</v>
      </c>
      <c r="I66" s="8">
        <v>27.638853969815816</v>
      </c>
    </row>
    <row r="67" spans="1:9" ht="15.5" x14ac:dyDescent="0.35">
      <c r="A67" s="4">
        <v>22</v>
      </c>
      <c r="B67" s="4" t="s">
        <v>67</v>
      </c>
      <c r="C67" s="4">
        <v>2024</v>
      </c>
      <c r="D67" s="9">
        <v>2.1284568147806322</v>
      </c>
      <c r="E67" s="4">
        <v>0.83333000000000002</v>
      </c>
      <c r="F67" s="4">
        <v>3</v>
      </c>
      <c r="G67" s="9">
        <v>0.45305462375598776</v>
      </c>
      <c r="H67" s="9">
        <v>0.51627709801931998</v>
      </c>
      <c r="I67" s="9">
        <v>27.88285108865291</v>
      </c>
    </row>
    <row r="68" spans="1:9" ht="15.5" x14ac:dyDescent="0.35">
      <c r="A68" s="1">
        <v>23</v>
      </c>
      <c r="B68" s="1" t="s">
        <v>65</v>
      </c>
      <c r="C68" s="1">
        <v>2022</v>
      </c>
      <c r="D68" s="8">
        <v>2.1414551270369113</v>
      </c>
      <c r="E68" s="1">
        <v>0.61111000000000004</v>
      </c>
      <c r="F68" s="1">
        <v>4</v>
      </c>
      <c r="G68" s="8">
        <v>0.51553534212453955</v>
      </c>
      <c r="H68" s="8">
        <v>0.22634062388977458</v>
      </c>
      <c r="I68" s="8">
        <v>29.195397402089437</v>
      </c>
    </row>
    <row r="69" spans="1:9" ht="15.5" x14ac:dyDescent="0.35">
      <c r="A69" s="1">
        <v>23</v>
      </c>
      <c r="B69" s="1" t="s">
        <v>65</v>
      </c>
      <c r="C69" s="1">
        <v>2023</v>
      </c>
      <c r="D69" s="8">
        <v>1.8514905561363069</v>
      </c>
      <c r="E69" s="1">
        <v>0.61111000000000004</v>
      </c>
      <c r="F69" s="1">
        <v>4</v>
      </c>
      <c r="G69" s="8">
        <v>0.61628908240564895</v>
      </c>
      <c r="H69" s="8">
        <v>0.3282225596058731</v>
      </c>
      <c r="I69" s="8">
        <v>28.896068474346798</v>
      </c>
    </row>
    <row r="70" spans="1:9" ht="15.5" x14ac:dyDescent="0.35">
      <c r="A70" s="4">
        <v>23</v>
      </c>
      <c r="B70" s="4" t="s">
        <v>65</v>
      </c>
      <c r="C70" s="4">
        <v>2024</v>
      </c>
      <c r="D70" s="9">
        <v>1.1700402368510638</v>
      </c>
      <c r="E70" s="4">
        <v>0.72221999999999997</v>
      </c>
      <c r="F70" s="4">
        <v>4</v>
      </c>
      <c r="G70" s="9">
        <v>0.73840545494057963</v>
      </c>
      <c r="H70" s="9">
        <v>0.27344842252791551</v>
      </c>
      <c r="I70" s="9">
        <v>28.974464231068858</v>
      </c>
    </row>
    <row r="71" spans="1:9" ht="15.5" x14ac:dyDescent="0.35">
      <c r="A71" s="1">
        <v>24</v>
      </c>
      <c r="B71" s="1" t="s">
        <v>21</v>
      </c>
      <c r="C71" s="1">
        <v>2022</v>
      </c>
      <c r="D71" s="8">
        <v>0.87196713887331401</v>
      </c>
      <c r="E71" s="1">
        <v>0.61111000000000004</v>
      </c>
      <c r="F71" s="1">
        <v>2</v>
      </c>
      <c r="G71" s="8">
        <v>0.83419954157861187</v>
      </c>
      <c r="H71" s="8">
        <v>2.96</v>
      </c>
      <c r="I71" s="8">
        <v>29.05041818826933</v>
      </c>
    </row>
    <row r="72" spans="1:9" ht="15.5" x14ac:dyDescent="0.35">
      <c r="A72" s="1">
        <v>24</v>
      </c>
      <c r="B72" s="1" t="s">
        <v>21</v>
      </c>
      <c r="C72" s="1">
        <v>2023</v>
      </c>
      <c r="D72" s="8">
        <v>0.86680138928539296</v>
      </c>
      <c r="E72" s="1">
        <v>0.61111000000000004</v>
      </c>
      <c r="F72" s="1">
        <v>2</v>
      </c>
      <c r="G72" s="8">
        <v>0.78</v>
      </c>
      <c r="H72" s="8">
        <v>2.9614252258228841</v>
      </c>
      <c r="I72" s="8">
        <v>29.01</v>
      </c>
    </row>
    <row r="73" spans="1:9" ht="15.5" x14ac:dyDescent="0.35">
      <c r="A73" s="4">
        <v>24</v>
      </c>
      <c r="B73" s="4" t="s">
        <v>21</v>
      </c>
      <c r="C73" s="4">
        <v>2024</v>
      </c>
      <c r="D73" s="9">
        <v>0.84459430037700778</v>
      </c>
      <c r="E73" s="4">
        <v>0.61111000000000004</v>
      </c>
      <c r="F73" s="4">
        <v>2</v>
      </c>
      <c r="G73" s="9">
        <v>0.78703735362286209</v>
      </c>
      <c r="H73" s="9">
        <v>2.8408477503114722</v>
      </c>
      <c r="I73" s="9">
        <v>29.030947379338226</v>
      </c>
    </row>
    <row r="74" spans="1:9" ht="15.5" x14ac:dyDescent="0.35">
      <c r="A74" s="1">
        <v>25</v>
      </c>
      <c r="B74" s="1" t="s">
        <v>68</v>
      </c>
      <c r="C74" s="1">
        <v>2022</v>
      </c>
      <c r="D74" s="8">
        <v>1.6498768792737672</v>
      </c>
      <c r="E74" s="1">
        <v>0.44444</v>
      </c>
      <c r="F74" s="1">
        <v>3</v>
      </c>
      <c r="G74" s="8">
        <v>0.58605449055622294</v>
      </c>
      <c r="H74" s="8">
        <v>1.3924731510268467</v>
      </c>
      <c r="I74" s="8">
        <v>28.673465751514552</v>
      </c>
    </row>
    <row r="75" spans="1:9" ht="15.5" x14ac:dyDescent="0.35">
      <c r="A75" s="1">
        <v>25</v>
      </c>
      <c r="B75" s="1" t="s">
        <v>68</v>
      </c>
      <c r="C75" s="1">
        <v>2023</v>
      </c>
      <c r="D75" s="8">
        <v>0.91328642707311092</v>
      </c>
      <c r="E75" s="1">
        <v>0.44444</v>
      </c>
      <c r="F75" s="1">
        <v>3</v>
      </c>
      <c r="G75" s="8">
        <v>0.58358289473192626</v>
      </c>
      <c r="H75" s="8">
        <v>1.3797197893458917</v>
      </c>
      <c r="I75" s="8">
        <v>28.961749868537257</v>
      </c>
    </row>
    <row r="76" spans="1:9" ht="15.5" x14ac:dyDescent="0.35">
      <c r="A76" s="4">
        <v>25</v>
      </c>
      <c r="B76" s="4" t="s">
        <v>68</v>
      </c>
      <c r="C76" s="4">
        <v>2024</v>
      </c>
      <c r="D76" s="9">
        <v>0.86714505756613602</v>
      </c>
      <c r="E76" s="4">
        <v>0.44444</v>
      </c>
      <c r="F76" s="4">
        <v>3</v>
      </c>
      <c r="G76" s="9">
        <v>0.53910674603568876</v>
      </c>
      <c r="H76" s="9">
        <v>1.1036760628375613</v>
      </c>
      <c r="I76" s="9">
        <v>28.935123012272673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066B4-5872-4763-ADC8-4AD22F53EB00}">
  <dimension ref="A1:I156"/>
  <sheetViews>
    <sheetView workbookViewId="0">
      <pane ySplit="1" topLeftCell="A38" activePane="bottomLeft" state="frozen"/>
      <selection pane="bottomLeft" activeCell="G38" sqref="G38"/>
    </sheetView>
  </sheetViews>
  <sheetFormatPr defaultRowHeight="15.5" x14ac:dyDescent="0.35"/>
  <cols>
    <col min="1" max="1" width="3.08984375" style="1" bestFit="1" customWidth="1"/>
    <col min="2" max="2" width="11.90625" style="1" bestFit="1" customWidth="1"/>
    <col min="3" max="3" width="6.36328125" style="1" bestFit="1" customWidth="1"/>
    <col min="4" max="4" width="9.1796875" style="1" bestFit="1" customWidth="1"/>
    <col min="5" max="5" width="23.90625" style="1" bestFit="1" customWidth="1"/>
    <col min="6" max="6" width="25.90625" style="1" bestFit="1" customWidth="1"/>
    <col min="7" max="7" width="18.36328125" style="1" bestFit="1" customWidth="1"/>
    <col min="8" max="9" width="9" style="1" bestFit="1" customWidth="1"/>
    <col min="10" max="16384" width="8.7265625" style="1"/>
  </cols>
  <sheetData>
    <row r="1" spans="1:9" x14ac:dyDescent="0.35">
      <c r="A1" s="3" t="s">
        <v>66</v>
      </c>
      <c r="B1" s="3" t="s">
        <v>1</v>
      </c>
      <c r="C1" s="3" t="s">
        <v>2</v>
      </c>
      <c r="D1" s="3" t="s">
        <v>7</v>
      </c>
      <c r="E1" s="3" t="s">
        <v>8</v>
      </c>
      <c r="F1" s="3" t="s">
        <v>9</v>
      </c>
      <c r="G1" s="3" t="s">
        <v>11</v>
      </c>
      <c r="H1" s="3" t="s">
        <v>12</v>
      </c>
      <c r="I1" s="3" t="s">
        <v>13</v>
      </c>
    </row>
    <row r="2" spans="1:9" x14ac:dyDescent="0.35">
      <c r="A2" s="2">
        <v>1</v>
      </c>
      <c r="B2" s="1" t="s">
        <v>3</v>
      </c>
      <c r="C2" s="1">
        <v>2022</v>
      </c>
      <c r="D2" s="8">
        <v>1.1299999999999999</v>
      </c>
      <c r="E2" s="26">
        <v>0.61111000000000004</v>
      </c>
      <c r="F2" s="6">
        <v>5</v>
      </c>
      <c r="G2" s="8">
        <v>0.77</v>
      </c>
      <c r="H2" s="8" t="e">
        <f>#REF!/#REF!</f>
        <v>#REF!</v>
      </c>
      <c r="I2" s="8" t="e">
        <f>LN(#REF!)</f>
        <v>#REF!</v>
      </c>
    </row>
    <row r="3" spans="1:9" x14ac:dyDescent="0.35">
      <c r="A3" s="2">
        <v>1</v>
      </c>
      <c r="B3" s="1" t="s">
        <v>3</v>
      </c>
      <c r="C3" s="1">
        <v>2023</v>
      </c>
      <c r="D3" s="8">
        <v>0.77</v>
      </c>
      <c r="E3" s="26">
        <v>0.72221999999999997</v>
      </c>
      <c r="F3" s="6">
        <v>5</v>
      </c>
      <c r="G3" s="8">
        <v>0.61</v>
      </c>
      <c r="H3" s="8" t="e">
        <f>#REF!/#REF!</f>
        <v>#REF!</v>
      </c>
      <c r="I3" s="8" t="e">
        <f>LN(#REF!)</f>
        <v>#REF!</v>
      </c>
    </row>
    <row r="4" spans="1:9" x14ac:dyDescent="0.35">
      <c r="A4" s="3">
        <v>1</v>
      </c>
      <c r="B4" s="4" t="s">
        <v>3</v>
      </c>
      <c r="C4" s="4">
        <v>2024</v>
      </c>
      <c r="D4" s="9">
        <v>0.89</v>
      </c>
      <c r="E4" s="27">
        <v>0.61111099999999996</v>
      </c>
      <c r="F4" s="7">
        <v>5</v>
      </c>
      <c r="G4" s="9">
        <v>0.41</v>
      </c>
      <c r="H4" s="9" t="e">
        <f>#REF!/#REF!</f>
        <v>#REF!</v>
      </c>
      <c r="I4" s="9" t="e">
        <f>LN(#REF!)</f>
        <v>#REF!</v>
      </c>
    </row>
    <row r="5" spans="1:9" x14ac:dyDescent="0.35">
      <c r="A5" s="2">
        <v>2</v>
      </c>
      <c r="B5" s="1" t="s">
        <v>69</v>
      </c>
      <c r="C5" s="1">
        <v>2022</v>
      </c>
      <c r="D5" s="8">
        <v>0.98</v>
      </c>
      <c r="E5" s="26">
        <v>0.83333000000000002</v>
      </c>
      <c r="F5" s="6">
        <v>3</v>
      </c>
      <c r="G5" s="8">
        <v>0.69</v>
      </c>
      <c r="H5" s="8" t="e">
        <f>#REF!/#REF!</f>
        <v>#REF!</v>
      </c>
      <c r="I5" s="8" t="e">
        <f>LN(#REF!)</f>
        <v>#REF!</v>
      </c>
    </row>
    <row r="6" spans="1:9" x14ac:dyDescent="0.35">
      <c r="A6" s="2">
        <v>2</v>
      </c>
      <c r="B6" s="1" t="s">
        <v>69</v>
      </c>
      <c r="C6" s="1">
        <v>2023</v>
      </c>
      <c r="D6" s="8">
        <v>0.93</v>
      </c>
      <c r="E6" s="26">
        <v>0.66666999999999998</v>
      </c>
      <c r="F6" s="6">
        <v>3</v>
      </c>
      <c r="G6" s="8">
        <v>0.65</v>
      </c>
      <c r="H6" s="8" t="e">
        <f>#REF!/#REF!</f>
        <v>#REF!</v>
      </c>
      <c r="I6" s="8" t="e">
        <f>LN(#REF!)</f>
        <v>#REF!</v>
      </c>
    </row>
    <row r="7" spans="1:9" x14ac:dyDescent="0.35">
      <c r="A7" s="3">
        <v>2</v>
      </c>
      <c r="B7" s="1" t="s">
        <v>69</v>
      </c>
      <c r="C7" s="4">
        <v>2024</v>
      </c>
      <c r="D7" s="9">
        <v>0.88</v>
      </c>
      <c r="E7" s="27">
        <v>0.83333000000000002</v>
      </c>
      <c r="F7" s="7">
        <v>3</v>
      </c>
      <c r="G7" s="9">
        <v>0.6</v>
      </c>
      <c r="H7" s="9" t="e">
        <f>#REF!/#REF!</f>
        <v>#REF!</v>
      </c>
      <c r="I7" s="9" t="e">
        <f>LN(#REF!)</f>
        <v>#REF!</v>
      </c>
    </row>
    <row r="8" spans="1:9" x14ac:dyDescent="0.35">
      <c r="A8" s="2">
        <v>3</v>
      </c>
      <c r="B8" s="1" t="s">
        <v>17</v>
      </c>
      <c r="C8" s="1">
        <v>2022</v>
      </c>
      <c r="D8" s="8">
        <v>1.55</v>
      </c>
      <c r="E8" s="26">
        <v>0.66666999999999998</v>
      </c>
      <c r="F8" s="6">
        <v>3</v>
      </c>
      <c r="G8" s="8">
        <v>0.68</v>
      </c>
      <c r="H8" s="8" t="e">
        <f>#REF!/#REF!</f>
        <v>#REF!</v>
      </c>
      <c r="I8" s="8" t="e">
        <f>LN(#REF!)</f>
        <v>#REF!</v>
      </c>
    </row>
    <row r="9" spans="1:9" x14ac:dyDescent="0.35">
      <c r="A9" s="2">
        <v>3</v>
      </c>
      <c r="B9" s="1" t="s">
        <v>17</v>
      </c>
      <c r="C9" s="1">
        <v>2023</v>
      </c>
      <c r="D9" s="8">
        <v>1.51</v>
      </c>
      <c r="E9" s="26">
        <v>0.66666999999999998</v>
      </c>
      <c r="F9" s="6">
        <v>3</v>
      </c>
      <c r="G9" s="8">
        <v>0.75</v>
      </c>
      <c r="H9" s="8" t="e">
        <f>#REF!/#REF!</f>
        <v>#REF!</v>
      </c>
      <c r="I9" s="8" t="e">
        <f>LN(#REF!)</f>
        <v>#REF!</v>
      </c>
    </row>
    <row r="10" spans="1:9" x14ac:dyDescent="0.35">
      <c r="A10" s="3">
        <v>3</v>
      </c>
      <c r="B10" s="4" t="s">
        <v>17</v>
      </c>
      <c r="C10" s="4">
        <v>2024</v>
      </c>
      <c r="D10" s="9">
        <v>1.24</v>
      </c>
      <c r="E10" s="27">
        <v>0.72221999999999997</v>
      </c>
      <c r="F10" s="7">
        <v>3</v>
      </c>
      <c r="G10" s="9">
        <v>0.72</v>
      </c>
      <c r="H10" s="9" t="e">
        <f>#REF!/#REF!</f>
        <v>#REF!</v>
      </c>
      <c r="I10" s="9" t="e">
        <f>LN(#REF!)</f>
        <v>#REF!</v>
      </c>
    </row>
    <row r="11" spans="1:9" x14ac:dyDescent="0.35">
      <c r="A11" s="28">
        <v>4</v>
      </c>
      <c r="B11" s="1" t="s">
        <v>18</v>
      </c>
      <c r="C11" s="1">
        <v>2022</v>
      </c>
      <c r="D11" s="8">
        <v>1.22</v>
      </c>
      <c r="E11" s="26">
        <v>0.55556000000000005</v>
      </c>
      <c r="F11" s="6">
        <v>3</v>
      </c>
      <c r="G11" s="8">
        <v>0.39</v>
      </c>
      <c r="H11" s="8" t="e">
        <f>#REF!/#REF!</f>
        <v>#REF!</v>
      </c>
      <c r="I11" s="8" t="e">
        <f>LN(#REF!)</f>
        <v>#REF!</v>
      </c>
    </row>
    <row r="12" spans="1:9" x14ac:dyDescent="0.35">
      <c r="A12" s="28">
        <v>4</v>
      </c>
      <c r="B12" s="1" t="s">
        <v>18</v>
      </c>
      <c r="C12" s="1">
        <v>2023</v>
      </c>
      <c r="D12" s="8">
        <v>0.83</v>
      </c>
      <c r="E12" s="26">
        <v>0.61111000000000004</v>
      </c>
      <c r="F12" s="6">
        <v>4</v>
      </c>
      <c r="G12" s="8">
        <v>0.36</v>
      </c>
      <c r="H12" s="8" t="e">
        <f>#REF!/#REF!</f>
        <v>#REF!</v>
      </c>
      <c r="I12" s="8" t="e">
        <f>LN(#REF!)</f>
        <v>#REF!</v>
      </c>
    </row>
    <row r="13" spans="1:9" x14ac:dyDescent="0.35">
      <c r="A13" s="29">
        <v>4</v>
      </c>
      <c r="B13" s="4" t="s">
        <v>18</v>
      </c>
      <c r="C13" s="4">
        <v>2024</v>
      </c>
      <c r="D13" s="9">
        <v>1.06</v>
      </c>
      <c r="E13" s="27">
        <v>0.83333000000000002</v>
      </c>
      <c r="F13" s="7">
        <v>4</v>
      </c>
      <c r="G13" s="9">
        <v>0.32</v>
      </c>
      <c r="H13" s="9" t="e">
        <f>#REF!/#REF!</f>
        <v>#REF!</v>
      </c>
      <c r="I13" s="9" t="e">
        <f>LN(#REF!)</f>
        <v>#REF!</v>
      </c>
    </row>
    <row r="14" spans="1:9" x14ac:dyDescent="0.35">
      <c r="A14" s="28">
        <v>5</v>
      </c>
      <c r="B14" s="1" t="s">
        <v>19</v>
      </c>
      <c r="C14" s="1">
        <v>2022</v>
      </c>
      <c r="D14" s="8">
        <v>11.77</v>
      </c>
      <c r="E14" s="26">
        <v>0.83333000000000002</v>
      </c>
      <c r="F14" s="6">
        <v>3</v>
      </c>
      <c r="G14" s="8">
        <v>0.96</v>
      </c>
      <c r="H14" s="8" t="e">
        <f>#REF!/#REF!</f>
        <v>#REF!</v>
      </c>
      <c r="I14" s="8" t="e">
        <f>LN(#REF!)</f>
        <v>#REF!</v>
      </c>
    </row>
    <row r="15" spans="1:9" x14ac:dyDescent="0.35">
      <c r="A15" s="28">
        <v>5</v>
      </c>
      <c r="B15" s="1" t="s">
        <v>19</v>
      </c>
      <c r="C15" s="1">
        <v>2023</v>
      </c>
      <c r="D15" s="8">
        <v>12.92</v>
      </c>
      <c r="E15" s="26">
        <v>0.83333000000000002</v>
      </c>
      <c r="F15" s="6">
        <v>3</v>
      </c>
      <c r="G15" s="8">
        <v>0.69</v>
      </c>
      <c r="H15" s="8" t="e">
        <f>#REF!/#REF!</f>
        <v>#REF!</v>
      </c>
      <c r="I15" s="8" t="e">
        <f>LN(#REF!)</f>
        <v>#REF!</v>
      </c>
    </row>
    <row r="16" spans="1:9" x14ac:dyDescent="0.35">
      <c r="A16" s="29">
        <v>5</v>
      </c>
      <c r="B16" s="4" t="s">
        <v>19</v>
      </c>
      <c r="C16" s="4">
        <v>2024</v>
      </c>
      <c r="D16" s="9">
        <v>12.2</v>
      </c>
      <c r="E16" s="27">
        <v>0.83333000000000002</v>
      </c>
      <c r="F16" s="7">
        <v>3</v>
      </c>
      <c r="G16" s="9">
        <v>0.6</v>
      </c>
      <c r="H16" s="9" t="e">
        <f>#REF!/#REF!</f>
        <v>#REF!</v>
      </c>
      <c r="I16" s="9" t="e">
        <f>LN(#REF!)</f>
        <v>#REF!</v>
      </c>
    </row>
    <row r="17" spans="1:9" x14ac:dyDescent="0.35">
      <c r="A17" s="28">
        <v>6</v>
      </c>
      <c r="B17" s="1" t="s">
        <v>20</v>
      </c>
      <c r="C17" s="1">
        <v>2022</v>
      </c>
      <c r="D17" s="8">
        <v>0.83</v>
      </c>
      <c r="E17" s="26">
        <v>0.61111000000000004</v>
      </c>
      <c r="F17" s="6">
        <v>4</v>
      </c>
      <c r="G17" s="8">
        <v>0.7</v>
      </c>
      <c r="H17" s="8" t="e">
        <f>#REF!/#REF!</f>
        <v>#REF!</v>
      </c>
      <c r="I17" s="8" t="e">
        <f>LN(#REF!)</f>
        <v>#REF!</v>
      </c>
    </row>
    <row r="18" spans="1:9" x14ac:dyDescent="0.35">
      <c r="A18" s="28">
        <v>6</v>
      </c>
      <c r="B18" s="1" t="s">
        <v>20</v>
      </c>
      <c r="C18" s="1">
        <v>2023</v>
      </c>
      <c r="D18" s="8">
        <v>1.48</v>
      </c>
      <c r="E18" s="26">
        <v>0.72221999999999997</v>
      </c>
      <c r="F18" s="6">
        <v>4</v>
      </c>
      <c r="G18" s="8">
        <v>0.64</v>
      </c>
      <c r="H18" s="8" t="e">
        <f>#REF!/#REF!</f>
        <v>#REF!</v>
      </c>
      <c r="I18" s="8" t="e">
        <f>LN(#REF!)</f>
        <v>#REF!</v>
      </c>
    </row>
    <row r="19" spans="1:9" x14ac:dyDescent="0.35">
      <c r="A19" s="29">
        <v>6</v>
      </c>
      <c r="B19" s="4" t="s">
        <v>20</v>
      </c>
      <c r="C19" s="4">
        <v>2024</v>
      </c>
      <c r="D19" s="9">
        <v>4.3099999999999996</v>
      </c>
      <c r="E19" s="27">
        <v>0.83333000000000002</v>
      </c>
      <c r="F19" s="7">
        <v>4</v>
      </c>
      <c r="G19" s="9">
        <v>0.71</v>
      </c>
      <c r="H19" s="9" t="e">
        <f>#REF!/#REF!</f>
        <v>#REF!</v>
      </c>
      <c r="I19" s="9" t="e">
        <f>LN(#REF!)</f>
        <v>#REF!</v>
      </c>
    </row>
    <row r="20" spans="1:9" x14ac:dyDescent="0.35">
      <c r="A20" s="2">
        <v>7</v>
      </c>
      <c r="B20" s="1" t="s">
        <v>22</v>
      </c>
      <c r="C20" s="1">
        <v>2022</v>
      </c>
      <c r="D20" s="8">
        <v>0.96</v>
      </c>
      <c r="E20" s="26">
        <v>0.77778000000000003</v>
      </c>
      <c r="F20" s="6">
        <v>3</v>
      </c>
      <c r="G20" s="8">
        <v>0.61</v>
      </c>
      <c r="H20" s="8" t="e">
        <f>#REF!/#REF!</f>
        <v>#REF!</v>
      </c>
      <c r="I20" s="8" t="e">
        <f>LN(#REF!)</f>
        <v>#REF!</v>
      </c>
    </row>
    <row r="21" spans="1:9" x14ac:dyDescent="0.35">
      <c r="A21" s="2">
        <v>7</v>
      </c>
      <c r="B21" s="1" t="s">
        <v>22</v>
      </c>
      <c r="C21" s="1">
        <v>2023</v>
      </c>
      <c r="D21" s="8">
        <v>0.83</v>
      </c>
      <c r="E21" s="26">
        <v>0.72221999999999997</v>
      </c>
      <c r="F21" s="6">
        <v>4</v>
      </c>
      <c r="G21" s="8">
        <v>0.63</v>
      </c>
      <c r="H21" s="8" t="e">
        <f>#REF!/#REF!</f>
        <v>#REF!</v>
      </c>
      <c r="I21" s="8" t="e">
        <f>LN(#REF!)</f>
        <v>#REF!</v>
      </c>
    </row>
    <row r="22" spans="1:9" x14ac:dyDescent="0.35">
      <c r="A22" s="3">
        <v>7</v>
      </c>
      <c r="B22" s="4" t="s">
        <v>22</v>
      </c>
      <c r="C22" s="4">
        <v>2024</v>
      </c>
      <c r="D22" s="9">
        <v>0.81</v>
      </c>
      <c r="E22" s="27">
        <v>0.77778000000000003</v>
      </c>
      <c r="F22" s="7">
        <v>4</v>
      </c>
      <c r="G22" s="9">
        <v>0.62</v>
      </c>
      <c r="H22" s="9" t="e">
        <f>#REF!/#REF!</f>
        <v>#REF!</v>
      </c>
      <c r="I22" s="9" t="e">
        <f>LN(#REF!)</f>
        <v>#REF!</v>
      </c>
    </row>
    <row r="23" spans="1:9" x14ac:dyDescent="0.35">
      <c r="A23" s="2">
        <v>8</v>
      </c>
      <c r="B23" s="1" t="s">
        <v>23</v>
      </c>
      <c r="C23" s="1">
        <v>2022</v>
      </c>
      <c r="D23" s="8">
        <v>2.84</v>
      </c>
      <c r="E23" s="26">
        <v>0.77778000000000003</v>
      </c>
      <c r="F23" s="6">
        <v>4</v>
      </c>
      <c r="G23" s="8">
        <v>0.8</v>
      </c>
      <c r="H23" s="8" t="e">
        <f>#REF!/#REF!</f>
        <v>#REF!</v>
      </c>
      <c r="I23" s="8" t="e">
        <f>LN(#REF!)</f>
        <v>#REF!</v>
      </c>
    </row>
    <row r="24" spans="1:9" x14ac:dyDescent="0.35">
      <c r="A24" s="2">
        <v>8</v>
      </c>
      <c r="B24" s="1" t="s">
        <v>23</v>
      </c>
      <c r="C24" s="1">
        <v>2023</v>
      </c>
      <c r="D24" s="8">
        <v>2.1800000000000002</v>
      </c>
      <c r="E24" s="26">
        <v>0.77778000000000003</v>
      </c>
      <c r="F24" s="6">
        <v>4</v>
      </c>
      <c r="G24" s="8">
        <v>0.74</v>
      </c>
      <c r="H24" s="8" t="e">
        <f>#REF!/#REF!</f>
        <v>#REF!</v>
      </c>
      <c r="I24" s="8" t="e">
        <f>LN(#REF!)</f>
        <v>#REF!</v>
      </c>
    </row>
    <row r="25" spans="1:9" x14ac:dyDescent="0.35">
      <c r="A25" s="3">
        <v>8</v>
      </c>
      <c r="B25" s="4" t="s">
        <v>23</v>
      </c>
      <c r="C25" s="4">
        <v>2024</v>
      </c>
      <c r="D25" s="9">
        <v>3.59</v>
      </c>
      <c r="E25" s="27">
        <v>0.88888999999999996</v>
      </c>
      <c r="F25" s="7">
        <v>3</v>
      </c>
      <c r="G25" s="9">
        <v>0.73</v>
      </c>
      <c r="H25" s="9" t="e">
        <f>#REF!/#REF!</f>
        <v>#REF!</v>
      </c>
      <c r="I25" s="9" t="e">
        <f>LN(#REF!)</f>
        <v>#REF!</v>
      </c>
    </row>
    <row r="26" spans="1:9" x14ac:dyDescent="0.35">
      <c r="A26" s="2">
        <v>9</v>
      </c>
      <c r="B26" s="1" t="s">
        <v>24</v>
      </c>
      <c r="C26" s="1">
        <v>2022</v>
      </c>
      <c r="D26" s="8">
        <v>1.31</v>
      </c>
      <c r="E26" s="26">
        <v>0.72221999999999997</v>
      </c>
      <c r="F26" s="6">
        <v>3</v>
      </c>
      <c r="G26" s="8">
        <v>0.51</v>
      </c>
      <c r="H26" s="8" t="e">
        <f>#REF!/#REF!</f>
        <v>#REF!</v>
      </c>
      <c r="I26" s="8" t="e">
        <f>LN(#REF!)</f>
        <v>#REF!</v>
      </c>
    </row>
    <row r="27" spans="1:9" x14ac:dyDescent="0.35">
      <c r="A27" s="2">
        <v>9</v>
      </c>
      <c r="B27" s="1" t="s">
        <v>24</v>
      </c>
      <c r="C27" s="1">
        <v>2023</v>
      </c>
      <c r="D27" s="8">
        <v>1</v>
      </c>
      <c r="E27" s="26">
        <v>0.61111000000000004</v>
      </c>
      <c r="F27" s="6">
        <v>4</v>
      </c>
      <c r="G27" s="8">
        <v>0.38</v>
      </c>
      <c r="H27" s="8" t="e">
        <f>#REF!/#REF!</f>
        <v>#REF!</v>
      </c>
      <c r="I27" s="8" t="e">
        <f>LN(#REF!)</f>
        <v>#REF!</v>
      </c>
    </row>
    <row r="28" spans="1:9" x14ac:dyDescent="0.35">
      <c r="A28" s="3">
        <v>9</v>
      </c>
      <c r="B28" s="4" t="s">
        <v>24</v>
      </c>
      <c r="C28" s="4">
        <v>2024</v>
      </c>
      <c r="D28" s="9">
        <v>0.64</v>
      </c>
      <c r="E28" s="27">
        <v>0.83333000000000002</v>
      </c>
      <c r="F28" s="7">
        <v>4</v>
      </c>
      <c r="G28" s="9">
        <v>0.35</v>
      </c>
      <c r="H28" s="9" t="e">
        <f>#REF!/#REF!</f>
        <v>#REF!</v>
      </c>
      <c r="I28" s="9" t="e">
        <f>LN(#REF!)</f>
        <v>#REF!</v>
      </c>
    </row>
    <row r="29" spans="1:9" x14ac:dyDescent="0.35">
      <c r="A29" s="28">
        <v>10</v>
      </c>
      <c r="B29" s="1" t="s">
        <v>51</v>
      </c>
      <c r="C29" s="1">
        <v>2022</v>
      </c>
      <c r="D29" s="8">
        <v>1.32</v>
      </c>
      <c r="E29" s="26">
        <v>0.83333000000000002</v>
      </c>
      <c r="F29" s="6">
        <v>4</v>
      </c>
      <c r="G29" s="8">
        <v>0.8</v>
      </c>
      <c r="H29" s="8" t="e">
        <f>#REF!/#REF!</f>
        <v>#REF!</v>
      </c>
      <c r="I29" s="8" t="e">
        <f>LN(#REF!)</f>
        <v>#REF!</v>
      </c>
    </row>
    <row r="30" spans="1:9" x14ac:dyDescent="0.35">
      <c r="A30" s="28">
        <v>10</v>
      </c>
      <c r="B30" s="1" t="s">
        <v>51</v>
      </c>
      <c r="C30" s="1">
        <v>2023</v>
      </c>
      <c r="D30" s="8">
        <v>1.04</v>
      </c>
      <c r="E30" s="26">
        <v>0.88888999999999996</v>
      </c>
      <c r="F30" s="6">
        <v>4</v>
      </c>
      <c r="G30" s="8">
        <v>0.56999999999999995</v>
      </c>
      <c r="H30" s="8" t="e">
        <f>#REF!/#REF!</f>
        <v>#REF!</v>
      </c>
      <c r="I30" s="8" t="e">
        <f>LN(#REF!)</f>
        <v>#REF!</v>
      </c>
    </row>
    <row r="31" spans="1:9" x14ac:dyDescent="0.35">
      <c r="A31" s="29">
        <v>10</v>
      </c>
      <c r="B31" s="4" t="s">
        <v>51</v>
      </c>
      <c r="C31" s="4">
        <v>2024</v>
      </c>
      <c r="D31" s="9">
        <v>0.97</v>
      </c>
      <c r="E31" s="27">
        <v>0.94443999999999995</v>
      </c>
      <c r="F31" s="7">
        <v>4</v>
      </c>
      <c r="G31" s="9">
        <v>0.61</v>
      </c>
      <c r="H31" s="9" t="e">
        <f>#REF!/#REF!</f>
        <v>#REF!</v>
      </c>
      <c r="I31" s="9" t="e">
        <f>LN(#REF!)</f>
        <v>#REF!</v>
      </c>
    </row>
    <row r="32" spans="1:9" x14ac:dyDescent="0.35">
      <c r="A32" s="2">
        <v>11</v>
      </c>
      <c r="B32" s="1" t="s">
        <v>52</v>
      </c>
      <c r="C32" s="1">
        <v>2022</v>
      </c>
      <c r="D32" s="31">
        <v>1.02</v>
      </c>
      <c r="E32" s="26">
        <v>0.55556000000000005</v>
      </c>
      <c r="F32" s="6">
        <v>3</v>
      </c>
      <c r="G32" s="8">
        <v>0.53</v>
      </c>
      <c r="H32" s="8" t="e">
        <f>#REF!/#REF!</f>
        <v>#REF!</v>
      </c>
      <c r="I32" s="8" t="e">
        <f>LN(#REF!)</f>
        <v>#REF!</v>
      </c>
    </row>
    <row r="33" spans="1:9" x14ac:dyDescent="0.35">
      <c r="A33" s="2">
        <v>11</v>
      </c>
      <c r="B33" s="1" t="s">
        <v>52</v>
      </c>
      <c r="C33" s="1">
        <v>2023</v>
      </c>
      <c r="D33" s="8">
        <v>0.9</v>
      </c>
      <c r="E33" s="26">
        <v>0.55556000000000005</v>
      </c>
      <c r="F33" s="6">
        <v>3</v>
      </c>
      <c r="G33" s="8">
        <v>0.56000000000000005</v>
      </c>
      <c r="H33" s="8" t="e">
        <f>#REF!/#REF!</f>
        <v>#REF!</v>
      </c>
      <c r="I33" s="8" t="e">
        <f>LN(#REF!)</f>
        <v>#REF!</v>
      </c>
    </row>
    <row r="34" spans="1:9" x14ac:dyDescent="0.35">
      <c r="A34" s="3">
        <v>11</v>
      </c>
      <c r="B34" s="4" t="s">
        <v>52</v>
      </c>
      <c r="C34" s="4">
        <v>2024</v>
      </c>
      <c r="D34" s="9">
        <v>1.04</v>
      </c>
      <c r="E34" s="27">
        <v>0.61111000000000004</v>
      </c>
      <c r="F34" s="7">
        <v>3</v>
      </c>
      <c r="G34" s="9">
        <v>0.83</v>
      </c>
      <c r="H34" s="9" t="e">
        <f>#REF!/#REF!</f>
        <v>#REF!</v>
      </c>
      <c r="I34" s="9" t="e">
        <f>LN(#REF!)</f>
        <v>#REF!</v>
      </c>
    </row>
    <row r="35" spans="1:9" x14ac:dyDescent="0.35">
      <c r="A35" s="2">
        <v>12</v>
      </c>
      <c r="B35" s="1" t="s">
        <v>55</v>
      </c>
      <c r="C35" s="1">
        <v>2022</v>
      </c>
      <c r="D35" s="31">
        <v>0.98</v>
      </c>
      <c r="E35" s="26">
        <v>0.77778000000000003</v>
      </c>
      <c r="F35" s="2">
        <v>5</v>
      </c>
      <c r="G35" s="8">
        <v>0.78</v>
      </c>
      <c r="H35" s="8" t="e">
        <f>#REF!/#REF!</f>
        <v>#REF!</v>
      </c>
      <c r="I35" s="8" t="e">
        <f>LN(#REF!)</f>
        <v>#REF!</v>
      </c>
    </row>
    <row r="36" spans="1:9" x14ac:dyDescent="0.35">
      <c r="A36" s="2">
        <v>12</v>
      </c>
      <c r="B36" s="1" t="s">
        <v>55</v>
      </c>
      <c r="C36" s="1">
        <v>2023</v>
      </c>
      <c r="D36" s="8">
        <v>0.98</v>
      </c>
      <c r="E36" s="26">
        <v>0.83333000000000002</v>
      </c>
      <c r="F36" s="2">
        <v>5</v>
      </c>
      <c r="G36" s="8">
        <v>0.78</v>
      </c>
      <c r="H36" s="8" t="e">
        <f>#REF!/#REF!</f>
        <v>#REF!</v>
      </c>
      <c r="I36" s="8" t="e">
        <f>LN(#REF!)</f>
        <v>#REF!</v>
      </c>
    </row>
    <row r="37" spans="1:9" x14ac:dyDescent="0.35">
      <c r="A37" s="3">
        <v>12</v>
      </c>
      <c r="B37" s="4" t="s">
        <v>55</v>
      </c>
      <c r="C37" s="4">
        <v>2024</v>
      </c>
      <c r="D37" s="9">
        <v>0.92</v>
      </c>
      <c r="E37" s="27">
        <v>0.83333000000000002</v>
      </c>
      <c r="F37" s="3">
        <v>5</v>
      </c>
      <c r="G37" s="9">
        <v>0.72</v>
      </c>
      <c r="H37" s="9" t="e">
        <f>#REF!/#REF!</f>
        <v>#REF!</v>
      </c>
      <c r="I37" s="9" t="e">
        <f>LN(#REF!)</f>
        <v>#REF!</v>
      </c>
    </row>
    <row r="38" spans="1:9" x14ac:dyDescent="0.35">
      <c r="A38" s="2">
        <v>13</v>
      </c>
      <c r="B38" s="1" t="s">
        <v>56</v>
      </c>
      <c r="C38" s="1">
        <v>2022</v>
      </c>
      <c r="D38" s="8">
        <v>0.9</v>
      </c>
      <c r="E38" s="1">
        <v>0.88888999999999996</v>
      </c>
      <c r="F38" s="2">
        <v>4</v>
      </c>
      <c r="G38" s="8" t="e">
        <f>(#REF!/#REF!)+(#REF!/#REF!)</f>
        <v>#REF!</v>
      </c>
      <c r="H38" s="8" t="e">
        <f>#REF!/#REF!</f>
        <v>#REF!</v>
      </c>
      <c r="I38" s="8" t="e">
        <f>LN(#REF!)</f>
        <v>#REF!</v>
      </c>
    </row>
    <row r="39" spans="1:9" x14ac:dyDescent="0.35">
      <c r="A39" s="2">
        <v>13</v>
      </c>
      <c r="B39" s="1" t="s">
        <v>56</v>
      </c>
      <c r="C39" s="1">
        <v>2023</v>
      </c>
      <c r="D39" s="8">
        <v>0.73</v>
      </c>
      <c r="E39" s="1">
        <v>0.88888999999999996</v>
      </c>
      <c r="F39" s="2">
        <v>4</v>
      </c>
      <c r="G39" s="8" t="e">
        <f>(#REF!/#REF!)+(#REF!/#REF!)</f>
        <v>#REF!</v>
      </c>
      <c r="H39" s="8" t="e">
        <f>#REF!/#REF!</f>
        <v>#REF!</v>
      </c>
      <c r="I39" s="8" t="e">
        <f>LN(#REF!)</f>
        <v>#REF!</v>
      </c>
    </row>
    <row r="40" spans="1:9" x14ac:dyDescent="0.35">
      <c r="A40" s="3">
        <v>13</v>
      </c>
      <c r="B40" s="4" t="s">
        <v>56</v>
      </c>
      <c r="C40" s="4">
        <v>2024</v>
      </c>
      <c r="D40" s="9">
        <v>0.8</v>
      </c>
      <c r="E40" s="4">
        <v>0.88888999999999996</v>
      </c>
      <c r="F40" s="3">
        <v>5</v>
      </c>
      <c r="G40" s="9" t="e">
        <f>(#REF!/#REF!)+(#REF!/#REF!)</f>
        <v>#REF!</v>
      </c>
      <c r="H40" s="9" t="e">
        <f>#REF!/#REF!</f>
        <v>#REF!</v>
      </c>
      <c r="I40" s="9" t="e">
        <f>LN(#REF!)</f>
        <v>#REF!</v>
      </c>
    </row>
    <row r="41" spans="1:9" x14ac:dyDescent="0.35">
      <c r="A41" s="2">
        <v>14</v>
      </c>
      <c r="B41" s="1" t="s">
        <v>57</v>
      </c>
      <c r="C41" s="1">
        <v>2022</v>
      </c>
      <c r="D41" s="8">
        <v>1.3</v>
      </c>
      <c r="E41" s="26">
        <v>0.83333000000000002</v>
      </c>
      <c r="F41" s="6">
        <v>5</v>
      </c>
      <c r="G41" s="8" t="e">
        <f>(#REF!/#REF!)+(#REF!/#REF!)</f>
        <v>#REF!</v>
      </c>
      <c r="H41" s="8" t="e">
        <f>#REF!/#REF!</f>
        <v>#REF!</v>
      </c>
      <c r="I41" s="8" t="e">
        <f>LN(#REF!)</f>
        <v>#REF!</v>
      </c>
    </row>
    <row r="42" spans="1:9" x14ac:dyDescent="0.35">
      <c r="A42" s="2">
        <v>14</v>
      </c>
      <c r="B42" s="1" t="s">
        <v>57</v>
      </c>
      <c r="C42" s="1">
        <v>2023</v>
      </c>
      <c r="D42" s="8">
        <v>1.17</v>
      </c>
      <c r="E42" s="26">
        <v>0.94443999999999995</v>
      </c>
      <c r="F42" s="6">
        <v>5</v>
      </c>
      <c r="G42" s="8" t="e">
        <f>(#REF!/#REF!)+(#REF!/#REF!)</f>
        <v>#REF!</v>
      </c>
      <c r="H42" s="8" t="e">
        <f>#REF!/#REF!</f>
        <v>#REF!</v>
      </c>
      <c r="I42" s="8" t="e">
        <f>LN(#REF!)</f>
        <v>#REF!</v>
      </c>
    </row>
    <row r="43" spans="1:9" x14ac:dyDescent="0.35">
      <c r="A43" s="3">
        <v>14</v>
      </c>
      <c r="B43" s="4" t="s">
        <v>57</v>
      </c>
      <c r="C43" s="4">
        <v>2024</v>
      </c>
      <c r="D43" s="9">
        <v>1.22</v>
      </c>
      <c r="E43" s="27">
        <v>0.88888999999999996</v>
      </c>
      <c r="F43" s="7">
        <v>5</v>
      </c>
      <c r="G43" s="9" t="e">
        <f>(#REF!/#REF!)+(#REF!/#REF!)</f>
        <v>#REF!</v>
      </c>
      <c r="H43" s="9" t="e">
        <f>#REF!/#REF!</f>
        <v>#REF!</v>
      </c>
      <c r="I43" s="9" t="e">
        <f>LN(#REF!)</f>
        <v>#REF!</v>
      </c>
    </row>
    <row r="44" spans="1:9" x14ac:dyDescent="0.35">
      <c r="A44" s="2">
        <v>15</v>
      </c>
      <c r="B44" s="1" t="s">
        <v>58</v>
      </c>
      <c r="C44" s="1">
        <v>2022</v>
      </c>
      <c r="D44" s="8">
        <v>0.97</v>
      </c>
      <c r="E44" s="26">
        <v>0.72221999999999997</v>
      </c>
      <c r="F44" s="6">
        <v>3</v>
      </c>
      <c r="G44" s="8" t="e">
        <f>(#REF!/#REF!)+(#REF!/#REF!)</f>
        <v>#REF!</v>
      </c>
      <c r="H44" s="8" t="e">
        <f>#REF!/#REF!</f>
        <v>#REF!</v>
      </c>
      <c r="I44" s="8" t="e">
        <f>LN(#REF!)</f>
        <v>#REF!</v>
      </c>
    </row>
    <row r="45" spans="1:9" x14ac:dyDescent="0.35">
      <c r="A45" s="2">
        <v>15</v>
      </c>
      <c r="B45" s="1" t="s">
        <v>58</v>
      </c>
      <c r="C45" s="1">
        <v>2023</v>
      </c>
      <c r="D45" s="8">
        <v>1.1499999999999999</v>
      </c>
      <c r="E45" s="26">
        <v>0.72221999999999997</v>
      </c>
      <c r="F45" s="2">
        <v>3</v>
      </c>
      <c r="G45" s="8" t="e">
        <f>(#REF!/#REF!)+(#REF!/#REF!)</f>
        <v>#REF!</v>
      </c>
      <c r="H45" s="8" t="e">
        <f>#REF!/#REF!</f>
        <v>#REF!</v>
      </c>
      <c r="I45" s="8" t="e">
        <f>LN(#REF!)</f>
        <v>#REF!</v>
      </c>
    </row>
    <row r="46" spans="1:9" x14ac:dyDescent="0.35">
      <c r="A46" s="3">
        <v>15</v>
      </c>
      <c r="B46" s="4" t="s">
        <v>58</v>
      </c>
      <c r="C46" s="4">
        <v>2024</v>
      </c>
      <c r="D46" s="9">
        <v>2.7</v>
      </c>
      <c r="E46" s="27">
        <v>0.72221999999999997</v>
      </c>
      <c r="F46" s="3">
        <v>3</v>
      </c>
      <c r="G46" s="9" t="e">
        <f>(#REF!/#REF!)+(#REF!/#REF!)</f>
        <v>#REF!</v>
      </c>
      <c r="H46" s="9" t="e">
        <f>#REF!/#REF!</f>
        <v>#REF!</v>
      </c>
      <c r="I46" s="9" t="e">
        <f>LN(#REF!)</f>
        <v>#REF!</v>
      </c>
    </row>
    <row r="47" spans="1:9" x14ac:dyDescent="0.35">
      <c r="A47" s="2">
        <v>16</v>
      </c>
      <c r="B47" s="1" t="s">
        <v>59</v>
      </c>
      <c r="C47" s="1">
        <v>2022</v>
      </c>
      <c r="D47" s="8">
        <v>0.87</v>
      </c>
      <c r="E47" s="26">
        <v>0.72221999999999997</v>
      </c>
      <c r="F47" s="2">
        <v>3</v>
      </c>
      <c r="G47" s="8" t="e">
        <f>(#REF!/#REF!)+(#REF!/#REF!)</f>
        <v>#REF!</v>
      </c>
      <c r="H47" s="8" t="e">
        <f>#REF!/#REF!</f>
        <v>#REF!</v>
      </c>
      <c r="I47" s="8" t="e">
        <f>LN(#REF!)</f>
        <v>#REF!</v>
      </c>
    </row>
    <row r="48" spans="1:9" x14ac:dyDescent="0.35">
      <c r="A48" s="2">
        <v>16</v>
      </c>
      <c r="B48" s="1" t="s">
        <v>59</v>
      </c>
      <c r="C48" s="1">
        <v>2023</v>
      </c>
      <c r="D48" s="8">
        <v>0.72</v>
      </c>
      <c r="E48" s="26">
        <v>0.77778000000000003</v>
      </c>
      <c r="F48" s="2">
        <v>3</v>
      </c>
      <c r="G48" s="8" t="e">
        <f>(#REF!/#REF!)+(#REF!/#REF!)</f>
        <v>#REF!</v>
      </c>
      <c r="H48" s="8" t="e">
        <f>#REF!/#REF!</f>
        <v>#REF!</v>
      </c>
      <c r="I48" s="8" t="e">
        <f>LN(#REF!)</f>
        <v>#REF!</v>
      </c>
    </row>
    <row r="49" spans="1:9" x14ac:dyDescent="0.35">
      <c r="A49" s="3">
        <v>16</v>
      </c>
      <c r="B49" s="4" t="s">
        <v>59</v>
      </c>
      <c r="C49" s="4">
        <v>2024</v>
      </c>
      <c r="D49" s="9">
        <v>0.74</v>
      </c>
      <c r="E49" s="27">
        <v>0.83333000000000002</v>
      </c>
      <c r="F49" s="3">
        <v>3</v>
      </c>
      <c r="G49" s="9" t="e">
        <f>(#REF!/#REF!)+(#REF!/#REF!)</f>
        <v>#REF!</v>
      </c>
      <c r="H49" s="9" t="e">
        <f>#REF!/#REF!</f>
        <v>#REF!</v>
      </c>
      <c r="I49" s="9" t="e">
        <f>LN(#REF!)</f>
        <v>#REF!</v>
      </c>
    </row>
    <row r="50" spans="1:9" x14ac:dyDescent="0.35">
      <c r="A50" s="2">
        <v>17</v>
      </c>
      <c r="B50" s="1" t="s">
        <v>60</v>
      </c>
      <c r="C50" s="1">
        <v>2022</v>
      </c>
      <c r="D50" s="8">
        <v>3.98</v>
      </c>
      <c r="E50" s="26">
        <v>0.66666999999999998</v>
      </c>
      <c r="F50" s="2">
        <v>3</v>
      </c>
      <c r="G50" s="8" t="e">
        <f>(#REF!/#REF!)+(#REF!/#REF!)</f>
        <v>#REF!</v>
      </c>
      <c r="H50" s="8" t="e">
        <f>#REF!/#REF!</f>
        <v>#REF!</v>
      </c>
      <c r="I50" s="8" t="e">
        <f>LN(#REF!)</f>
        <v>#REF!</v>
      </c>
    </row>
    <row r="51" spans="1:9" x14ac:dyDescent="0.35">
      <c r="A51" s="2">
        <v>17</v>
      </c>
      <c r="B51" s="1" t="s">
        <v>60</v>
      </c>
      <c r="C51" s="1">
        <v>2023</v>
      </c>
      <c r="D51" s="8">
        <v>2.52</v>
      </c>
      <c r="E51" s="26">
        <v>0.77778000000000003</v>
      </c>
      <c r="F51" s="2">
        <v>3</v>
      </c>
      <c r="G51" s="8" t="e">
        <f>(#REF!/#REF!)+(#REF!/#REF!)</f>
        <v>#REF!</v>
      </c>
      <c r="H51" s="8" t="e">
        <f>#REF!/#REF!</f>
        <v>#REF!</v>
      </c>
      <c r="I51" s="8" t="e">
        <f>LN(#REF!)</f>
        <v>#REF!</v>
      </c>
    </row>
    <row r="52" spans="1:9" x14ac:dyDescent="0.35">
      <c r="A52" s="3">
        <v>17</v>
      </c>
      <c r="B52" s="4" t="s">
        <v>60</v>
      </c>
      <c r="C52" s="4">
        <v>2024</v>
      </c>
      <c r="D52" s="9">
        <v>1.74</v>
      </c>
      <c r="E52" s="27">
        <v>0.83333000000000002</v>
      </c>
      <c r="F52" s="3">
        <v>3</v>
      </c>
      <c r="G52" s="9" t="e">
        <f>(#REF!/#REF!)+(#REF!/#REF!)</f>
        <v>#REF!</v>
      </c>
      <c r="H52" s="9" t="e">
        <f>#REF!/#REF!</f>
        <v>#REF!</v>
      </c>
      <c r="I52" s="9" t="e">
        <f>LN(#REF!)</f>
        <v>#REF!</v>
      </c>
    </row>
    <row r="53" spans="1:9" x14ac:dyDescent="0.35">
      <c r="A53" s="2">
        <v>18</v>
      </c>
      <c r="B53" s="1" t="s">
        <v>61</v>
      </c>
      <c r="C53" s="1">
        <v>2022</v>
      </c>
      <c r="D53" s="8">
        <v>2.73</v>
      </c>
      <c r="E53" s="26">
        <v>0.55556000000000005</v>
      </c>
      <c r="F53" s="2">
        <v>2</v>
      </c>
      <c r="G53" s="8" t="e">
        <f>(#REF!/#REF!)+(#REF!/#REF!)</f>
        <v>#REF!</v>
      </c>
      <c r="H53" s="8" t="e">
        <f>#REF!/#REF!</f>
        <v>#REF!</v>
      </c>
      <c r="I53" s="8" t="e">
        <f>LN(#REF!)</f>
        <v>#REF!</v>
      </c>
    </row>
    <row r="54" spans="1:9" x14ac:dyDescent="0.35">
      <c r="A54" s="2">
        <v>18</v>
      </c>
      <c r="B54" s="1" t="s">
        <v>61</v>
      </c>
      <c r="C54" s="1">
        <v>2023</v>
      </c>
      <c r="D54" s="8">
        <v>1.5</v>
      </c>
      <c r="E54" s="26">
        <v>0.55556000000000005</v>
      </c>
      <c r="F54" s="2">
        <v>3</v>
      </c>
      <c r="G54" s="8" t="e">
        <f>(#REF!/#REF!)+(#REF!/#REF!)</f>
        <v>#REF!</v>
      </c>
      <c r="H54" s="8" t="e">
        <f>#REF!/#REF!</f>
        <v>#REF!</v>
      </c>
      <c r="I54" s="8" t="e">
        <f>LN(#REF!)</f>
        <v>#REF!</v>
      </c>
    </row>
    <row r="55" spans="1:9" x14ac:dyDescent="0.35">
      <c r="A55" s="3">
        <v>18</v>
      </c>
      <c r="B55" s="4" t="s">
        <v>61</v>
      </c>
      <c r="C55" s="4">
        <v>2024</v>
      </c>
      <c r="D55" s="9">
        <v>1.19</v>
      </c>
      <c r="E55" s="27">
        <v>0.55556000000000005</v>
      </c>
      <c r="F55" s="3">
        <v>3</v>
      </c>
      <c r="G55" s="9" t="e">
        <f>(#REF!/#REF!)+(#REF!/#REF!)</f>
        <v>#REF!</v>
      </c>
      <c r="H55" s="9" t="e">
        <f>#REF!/#REF!</f>
        <v>#REF!</v>
      </c>
      <c r="I55" s="9" t="e">
        <f>LN(#REF!)</f>
        <v>#REF!</v>
      </c>
    </row>
    <row r="56" spans="1:9" x14ac:dyDescent="0.35">
      <c r="A56" s="2">
        <v>19</v>
      </c>
      <c r="B56" s="1" t="s">
        <v>62</v>
      </c>
      <c r="C56" s="1">
        <v>2022</v>
      </c>
      <c r="D56" s="31">
        <v>2.37</v>
      </c>
      <c r="E56" s="26">
        <v>0.72221999999999997</v>
      </c>
      <c r="F56" s="2">
        <v>3</v>
      </c>
      <c r="G56" s="8" t="e">
        <f>(#REF!/#REF!)+(#REF!/#REF!)</f>
        <v>#REF!</v>
      </c>
      <c r="H56" s="8" t="e">
        <f>#REF!/#REF!</f>
        <v>#REF!</v>
      </c>
      <c r="I56" s="8" t="e">
        <f>LN(#REF!)</f>
        <v>#REF!</v>
      </c>
    </row>
    <row r="57" spans="1:9" x14ac:dyDescent="0.35">
      <c r="A57" s="2">
        <v>19</v>
      </c>
      <c r="B57" s="1" t="s">
        <v>62</v>
      </c>
      <c r="C57" s="1">
        <v>2023</v>
      </c>
      <c r="D57" s="8">
        <v>1.5</v>
      </c>
      <c r="E57" s="26">
        <v>0.72221999999999997</v>
      </c>
      <c r="F57" s="2">
        <v>3</v>
      </c>
      <c r="G57" s="8" t="e">
        <f>(#REF!/#REF!)+(#REF!/#REF!)</f>
        <v>#REF!</v>
      </c>
      <c r="H57" s="8" t="e">
        <f>#REF!/#REF!</f>
        <v>#REF!</v>
      </c>
      <c r="I57" s="8" t="e">
        <f>LN(#REF!)</f>
        <v>#REF!</v>
      </c>
    </row>
    <row r="58" spans="1:9" x14ac:dyDescent="0.35">
      <c r="A58" s="3">
        <v>19</v>
      </c>
      <c r="B58" s="4" t="s">
        <v>62</v>
      </c>
      <c r="C58" s="4">
        <v>2024</v>
      </c>
      <c r="D58" s="9">
        <v>1.19</v>
      </c>
      <c r="E58" s="27">
        <v>0.77778000000000003</v>
      </c>
      <c r="F58" s="3">
        <v>3</v>
      </c>
      <c r="G58" s="9" t="e">
        <f>(#REF!/#REF!)+(#REF!/#REF!)</f>
        <v>#REF!</v>
      </c>
      <c r="H58" s="9" t="e">
        <f>#REF!/#REF!</f>
        <v>#REF!</v>
      </c>
      <c r="I58" s="9" t="e">
        <f>LN(#REF!)</f>
        <v>#REF!</v>
      </c>
    </row>
    <row r="59" spans="1:9" x14ac:dyDescent="0.35">
      <c r="A59" s="2">
        <v>20</v>
      </c>
      <c r="B59" s="1" t="s">
        <v>63</v>
      </c>
      <c r="C59" s="1">
        <v>2022</v>
      </c>
      <c r="D59" s="8">
        <v>2.37</v>
      </c>
      <c r="E59" s="26">
        <v>0.77778000000000003</v>
      </c>
      <c r="F59" s="2">
        <v>3</v>
      </c>
      <c r="G59" s="8" t="e">
        <f>(#REF!/#REF!)+(#REF!/#REF!)</f>
        <v>#REF!</v>
      </c>
      <c r="H59" s="8" t="e">
        <f>#REF!/#REF!</f>
        <v>#REF!</v>
      </c>
      <c r="I59" s="8" t="e">
        <f>LN(#REF!)</f>
        <v>#REF!</v>
      </c>
    </row>
    <row r="60" spans="1:9" x14ac:dyDescent="0.35">
      <c r="A60" s="2">
        <v>20</v>
      </c>
      <c r="B60" s="1" t="s">
        <v>63</v>
      </c>
      <c r="C60" s="1">
        <v>2023</v>
      </c>
      <c r="D60" s="8">
        <v>1.96</v>
      </c>
      <c r="E60" s="26">
        <v>0.72221999999999997</v>
      </c>
      <c r="F60" s="2">
        <v>3</v>
      </c>
      <c r="G60" s="8" t="e">
        <f>(#REF!/#REF!)+(#REF!/#REF!)</f>
        <v>#REF!</v>
      </c>
      <c r="H60" s="8" t="e">
        <f>#REF!/#REF!</f>
        <v>#REF!</v>
      </c>
      <c r="I60" s="8" t="e">
        <f>LN(#REF!)</f>
        <v>#REF!</v>
      </c>
    </row>
    <row r="61" spans="1:9" x14ac:dyDescent="0.35">
      <c r="A61" s="3">
        <v>20</v>
      </c>
      <c r="B61" s="4" t="s">
        <v>63</v>
      </c>
      <c r="C61" s="4">
        <v>2024</v>
      </c>
      <c r="D61" s="9">
        <v>1.77</v>
      </c>
      <c r="E61" s="27">
        <v>0.72221999999999997</v>
      </c>
      <c r="F61" s="3">
        <v>3</v>
      </c>
      <c r="G61" s="9" t="e">
        <f>(#REF!/#REF!)+(#REF!/#REF!)</f>
        <v>#REF!</v>
      </c>
      <c r="H61" s="9" t="e">
        <f>#REF!/#REF!</f>
        <v>#REF!</v>
      </c>
      <c r="I61" s="9" t="e">
        <f>LN(#REF!)</f>
        <v>#REF!</v>
      </c>
    </row>
    <row r="62" spans="1:9" x14ac:dyDescent="0.35">
      <c r="A62" s="28">
        <v>21</v>
      </c>
      <c r="B62" s="1" t="s">
        <v>64</v>
      </c>
      <c r="C62" s="1">
        <v>2022</v>
      </c>
      <c r="D62" s="8">
        <v>2.2400000000000002</v>
      </c>
      <c r="E62" s="26">
        <v>0.66666999999999998</v>
      </c>
      <c r="F62" s="2">
        <v>4</v>
      </c>
      <c r="G62" s="8" t="e">
        <f>(#REF!/#REF!)+(#REF!/#REF!)</f>
        <v>#REF!</v>
      </c>
      <c r="H62" s="8" t="e">
        <f>#REF!/#REF!</f>
        <v>#REF!</v>
      </c>
      <c r="I62" s="8" t="e">
        <f>LN(#REF!)</f>
        <v>#REF!</v>
      </c>
    </row>
    <row r="63" spans="1:9" x14ac:dyDescent="0.35">
      <c r="A63" s="28">
        <v>21</v>
      </c>
      <c r="B63" s="1" t="s">
        <v>64</v>
      </c>
      <c r="C63" s="1">
        <v>2023</v>
      </c>
      <c r="D63" s="8">
        <v>2.0099999999999998</v>
      </c>
      <c r="E63" s="26">
        <v>0.66666999999999998</v>
      </c>
      <c r="F63" s="2">
        <v>3</v>
      </c>
      <c r="G63" s="8" t="e">
        <f>(#REF!/#REF!)+(#REF!/#REF!)</f>
        <v>#REF!</v>
      </c>
      <c r="H63" s="8" t="e">
        <f>#REF!/#REF!</f>
        <v>#REF!</v>
      </c>
      <c r="I63" s="8" t="e">
        <f>LN(#REF!)</f>
        <v>#REF!</v>
      </c>
    </row>
    <row r="64" spans="1:9" x14ac:dyDescent="0.35">
      <c r="A64" s="29">
        <v>21</v>
      </c>
      <c r="B64" s="4" t="s">
        <v>64</v>
      </c>
      <c r="C64" s="4">
        <v>2024</v>
      </c>
      <c r="D64" s="9">
        <v>2.27</v>
      </c>
      <c r="E64" s="27">
        <v>0.77778000000000003</v>
      </c>
      <c r="F64" s="3">
        <v>3</v>
      </c>
      <c r="G64" s="9" t="e">
        <f>(#REF!/#REF!)+(#REF!/#REF!)</f>
        <v>#REF!</v>
      </c>
      <c r="H64" s="9" t="e">
        <f>#REF!/#REF!</f>
        <v>#REF!</v>
      </c>
      <c r="I64" s="9" t="e">
        <f>LN(#REF!)</f>
        <v>#REF!</v>
      </c>
    </row>
    <row r="65" spans="1:9" x14ac:dyDescent="0.35">
      <c r="A65" s="28">
        <v>22</v>
      </c>
      <c r="B65" s="1" t="s">
        <v>67</v>
      </c>
      <c r="C65" s="1">
        <v>2022</v>
      </c>
      <c r="D65" s="31">
        <v>1.87</v>
      </c>
      <c r="E65" s="26">
        <v>0.61111000000000004</v>
      </c>
      <c r="F65" s="2">
        <v>3</v>
      </c>
      <c r="G65" s="8" t="e">
        <f>(#REF!/#REF!)+(#REF!/#REF!)</f>
        <v>#REF!</v>
      </c>
      <c r="H65" s="8" t="e">
        <f>#REF!/#REF!</f>
        <v>#REF!</v>
      </c>
      <c r="I65" s="8" t="e">
        <f>LN(#REF!)</f>
        <v>#REF!</v>
      </c>
    </row>
    <row r="66" spans="1:9" x14ac:dyDescent="0.35">
      <c r="A66" s="28">
        <v>22</v>
      </c>
      <c r="B66" s="1" t="s">
        <v>67</v>
      </c>
      <c r="C66" s="1">
        <v>2023</v>
      </c>
      <c r="D66" s="8">
        <v>3.11</v>
      </c>
      <c r="E66" s="26">
        <v>0.77778000000000003</v>
      </c>
      <c r="F66" s="2">
        <v>3</v>
      </c>
      <c r="G66" s="8" t="e">
        <f>(#REF!/#REF!)+(#REF!/#REF!)</f>
        <v>#REF!</v>
      </c>
      <c r="H66" s="8" t="e">
        <f>#REF!/#REF!</f>
        <v>#REF!</v>
      </c>
      <c r="I66" s="8" t="e">
        <f>LN(#REF!)</f>
        <v>#REF!</v>
      </c>
    </row>
    <row r="67" spans="1:9" x14ac:dyDescent="0.35">
      <c r="A67" s="29">
        <v>22</v>
      </c>
      <c r="B67" s="4" t="s">
        <v>67</v>
      </c>
      <c r="C67" s="4">
        <v>2024</v>
      </c>
      <c r="D67" s="9">
        <v>2.13</v>
      </c>
      <c r="E67" s="27">
        <v>0.83333000000000002</v>
      </c>
      <c r="F67" s="3">
        <v>3</v>
      </c>
      <c r="G67" s="9" t="e">
        <f>(#REF!/#REF!)+(#REF!/#REF!)</f>
        <v>#REF!</v>
      </c>
      <c r="H67" s="9" t="e">
        <f>#REF!/#REF!</f>
        <v>#REF!</v>
      </c>
      <c r="I67" s="9" t="e">
        <f>LN(#REF!)</f>
        <v>#REF!</v>
      </c>
    </row>
    <row r="68" spans="1:9" x14ac:dyDescent="0.35">
      <c r="A68" s="2">
        <v>23</v>
      </c>
      <c r="B68" s="1" t="s">
        <v>65</v>
      </c>
      <c r="C68" s="1">
        <v>2022</v>
      </c>
      <c r="D68" s="8">
        <v>2.14</v>
      </c>
      <c r="E68" s="26">
        <v>0.61111099999999996</v>
      </c>
      <c r="F68" s="2">
        <v>4</v>
      </c>
      <c r="G68" s="8" t="e">
        <f>(#REF!/#REF!)+(#REF!/#REF!)</f>
        <v>#REF!</v>
      </c>
      <c r="H68" s="8" t="e">
        <f>#REF!/#REF!</f>
        <v>#REF!</v>
      </c>
      <c r="I68" s="8" t="e">
        <f>LN(#REF!)</f>
        <v>#REF!</v>
      </c>
    </row>
    <row r="69" spans="1:9" x14ac:dyDescent="0.35">
      <c r="A69" s="2">
        <v>23</v>
      </c>
      <c r="B69" s="1" t="s">
        <v>65</v>
      </c>
      <c r="C69" s="1">
        <v>2023</v>
      </c>
      <c r="D69" s="8">
        <v>1.85</v>
      </c>
      <c r="E69" s="26">
        <v>0.61111099999999996</v>
      </c>
      <c r="F69" s="2">
        <v>4</v>
      </c>
      <c r="G69" s="8" t="e">
        <f>(#REF!/#REF!)+(#REF!/#REF!)</f>
        <v>#REF!</v>
      </c>
      <c r="H69" s="8" t="e">
        <f>#REF!/#REF!</f>
        <v>#REF!</v>
      </c>
      <c r="I69" s="8" t="e">
        <f>LN(#REF!)</f>
        <v>#REF!</v>
      </c>
    </row>
    <row r="70" spans="1:9" x14ac:dyDescent="0.35">
      <c r="A70" s="3">
        <v>23</v>
      </c>
      <c r="B70" s="4" t="s">
        <v>65</v>
      </c>
      <c r="C70" s="4">
        <v>2024</v>
      </c>
      <c r="D70" s="9">
        <v>1.17</v>
      </c>
      <c r="E70" s="27">
        <v>0.72221999999999997</v>
      </c>
      <c r="F70" s="3">
        <v>4</v>
      </c>
      <c r="G70" s="9" t="e">
        <f>(#REF!/#REF!)+(#REF!/#REF!)</f>
        <v>#REF!</v>
      </c>
      <c r="H70" s="9" t="e">
        <f>#REF!/#REF!</f>
        <v>#REF!</v>
      </c>
      <c r="I70" s="9" t="e">
        <f>LN(#REF!)</f>
        <v>#REF!</v>
      </c>
    </row>
    <row r="71" spans="1:9" x14ac:dyDescent="0.35">
      <c r="A71" s="2">
        <v>24</v>
      </c>
      <c r="B71" s="1" t="s">
        <v>21</v>
      </c>
      <c r="C71" s="1">
        <v>2022</v>
      </c>
      <c r="D71" s="8">
        <v>0.87</v>
      </c>
      <c r="E71" s="26">
        <v>0.61111000000000004</v>
      </c>
      <c r="F71" s="6">
        <v>2</v>
      </c>
      <c r="G71" s="8" t="e">
        <f>(#REF!/#REF!)+(#REF!/#REF!)</f>
        <v>#REF!</v>
      </c>
      <c r="H71" s="8" t="e">
        <f>#REF!/#REF!</f>
        <v>#REF!</v>
      </c>
      <c r="I71" s="8" t="e">
        <f>LN(#REF!)</f>
        <v>#REF!</v>
      </c>
    </row>
    <row r="72" spans="1:9" x14ac:dyDescent="0.35">
      <c r="A72" s="2">
        <v>24</v>
      </c>
      <c r="B72" s="1" t="s">
        <v>21</v>
      </c>
      <c r="C72" s="1">
        <v>2023</v>
      </c>
      <c r="D72" s="8">
        <v>0.87</v>
      </c>
      <c r="E72" s="26">
        <v>0.61111000000000004</v>
      </c>
      <c r="F72" s="6">
        <v>2</v>
      </c>
      <c r="G72" s="8" t="e">
        <f>(#REF!/#REF!)+(#REF!/#REF!)</f>
        <v>#REF!</v>
      </c>
      <c r="H72" s="8" t="e">
        <f>#REF!/#REF!</f>
        <v>#REF!</v>
      </c>
      <c r="I72" s="8" t="e">
        <f>LN(#REF!)</f>
        <v>#REF!</v>
      </c>
    </row>
    <row r="73" spans="1:9" x14ac:dyDescent="0.35">
      <c r="A73" s="3">
        <v>24</v>
      </c>
      <c r="B73" s="4" t="s">
        <v>21</v>
      </c>
      <c r="C73" s="4">
        <v>2024</v>
      </c>
      <c r="D73" s="9">
        <v>0.84</v>
      </c>
      <c r="E73" s="27">
        <v>0.61111000000000004</v>
      </c>
      <c r="F73" s="7">
        <v>2</v>
      </c>
      <c r="G73" s="9" t="e">
        <f>(#REF!/#REF!)+(#REF!/#REF!)</f>
        <v>#REF!</v>
      </c>
      <c r="H73" s="9" t="e">
        <f>#REF!/#REF!</f>
        <v>#REF!</v>
      </c>
      <c r="I73" s="9" t="e">
        <f>LN(#REF!)</f>
        <v>#REF!</v>
      </c>
    </row>
    <row r="74" spans="1:9" x14ac:dyDescent="0.35">
      <c r="A74" s="2">
        <v>25</v>
      </c>
      <c r="B74" s="1" t="s">
        <v>68</v>
      </c>
      <c r="C74" s="1">
        <v>2022</v>
      </c>
      <c r="D74" s="8">
        <v>1.65</v>
      </c>
      <c r="E74" s="26">
        <v>0.44444</v>
      </c>
      <c r="F74" s="2">
        <v>3</v>
      </c>
      <c r="G74" s="8" t="e">
        <f>(#REF!/#REF!)+(#REF!/#REF!)</f>
        <v>#REF!</v>
      </c>
      <c r="H74" s="8" t="e">
        <f>#REF!/#REF!</f>
        <v>#REF!</v>
      </c>
      <c r="I74" s="31" t="e">
        <f>LN(#REF!)</f>
        <v>#REF!</v>
      </c>
    </row>
    <row r="75" spans="1:9" x14ac:dyDescent="0.35">
      <c r="A75" s="2">
        <v>25</v>
      </c>
      <c r="B75" s="1" t="s">
        <v>68</v>
      </c>
      <c r="C75" s="1">
        <v>2023</v>
      </c>
      <c r="D75" s="8">
        <v>0.91</v>
      </c>
      <c r="E75" s="26">
        <v>0.44444</v>
      </c>
      <c r="F75" s="2">
        <v>3</v>
      </c>
      <c r="G75" s="8" t="e">
        <f>(#REF!/#REF!)+(#REF!/#REF!)</f>
        <v>#REF!</v>
      </c>
      <c r="H75" s="8" t="e">
        <f>#REF!/#REF!</f>
        <v>#REF!</v>
      </c>
      <c r="I75" s="8" t="e">
        <f>LN(#REF!)</f>
        <v>#REF!</v>
      </c>
    </row>
    <row r="76" spans="1:9" x14ac:dyDescent="0.35">
      <c r="A76" s="3">
        <v>25</v>
      </c>
      <c r="B76" s="4" t="s">
        <v>68</v>
      </c>
      <c r="C76" s="4">
        <v>2024</v>
      </c>
      <c r="D76" s="9">
        <v>0.87</v>
      </c>
      <c r="E76" s="27">
        <v>0.44444</v>
      </c>
      <c r="F76" s="3">
        <v>3</v>
      </c>
      <c r="G76" s="9" t="e">
        <f>(#REF!/#REF!)+(#REF!/#REF!)</f>
        <v>#REF!</v>
      </c>
      <c r="H76" s="9" t="e">
        <f>#REF!/#REF!</f>
        <v>#REF!</v>
      </c>
      <c r="I76" s="9" t="e">
        <f>LN(#REF!)</f>
        <v>#REF!</v>
      </c>
    </row>
    <row r="83" spans="1:9" x14ac:dyDescent="0.35">
      <c r="A83" s="2"/>
      <c r="G83" s="5"/>
      <c r="H83" s="5"/>
      <c r="I83" s="5"/>
    </row>
    <row r="84" spans="1:9" x14ac:dyDescent="0.35">
      <c r="A84" s="2"/>
      <c r="G84" s="5"/>
      <c r="H84" s="5"/>
      <c r="I84" s="5"/>
    </row>
    <row r="85" spans="1:9" x14ac:dyDescent="0.35">
      <c r="A85" s="2"/>
      <c r="G85" s="5"/>
      <c r="H85" s="5"/>
      <c r="I85" s="5"/>
    </row>
    <row r="86" spans="1:9" x14ac:dyDescent="0.35">
      <c r="A86" s="2"/>
      <c r="G86" s="5"/>
      <c r="H86" s="5"/>
      <c r="I86" s="5"/>
    </row>
    <row r="87" spans="1:9" x14ac:dyDescent="0.35">
      <c r="A87" s="2"/>
      <c r="G87" s="5"/>
      <c r="H87" s="5"/>
      <c r="I87" s="5"/>
    </row>
    <row r="88" spans="1:9" x14ac:dyDescent="0.35">
      <c r="A88" s="2"/>
    </row>
    <row r="89" spans="1:9" x14ac:dyDescent="0.35">
      <c r="A89" s="2"/>
    </row>
    <row r="90" spans="1:9" x14ac:dyDescent="0.35">
      <c r="A90" s="2"/>
    </row>
    <row r="91" spans="1:9" x14ac:dyDescent="0.35">
      <c r="A91" s="2"/>
    </row>
    <row r="92" spans="1:9" x14ac:dyDescent="0.35">
      <c r="A92" s="2"/>
    </row>
    <row r="93" spans="1:9" x14ac:dyDescent="0.35">
      <c r="A93" s="2"/>
    </row>
    <row r="94" spans="1:9" x14ac:dyDescent="0.35">
      <c r="A94" s="2"/>
    </row>
    <row r="95" spans="1:9" x14ac:dyDescent="0.35">
      <c r="A95" s="2"/>
    </row>
    <row r="96" spans="1:9" x14ac:dyDescent="0.35">
      <c r="A96" s="2"/>
    </row>
    <row r="97" spans="1:1" x14ac:dyDescent="0.35">
      <c r="A97" s="2"/>
    </row>
    <row r="98" spans="1:1" x14ac:dyDescent="0.35">
      <c r="A98" s="2"/>
    </row>
    <row r="99" spans="1:1" x14ac:dyDescent="0.35">
      <c r="A99" s="2"/>
    </row>
    <row r="100" spans="1:1" x14ac:dyDescent="0.35">
      <c r="A100" s="2"/>
    </row>
    <row r="101" spans="1:1" x14ac:dyDescent="0.35">
      <c r="A101" s="2"/>
    </row>
    <row r="102" spans="1:1" x14ac:dyDescent="0.35">
      <c r="A102" s="2"/>
    </row>
    <row r="103" spans="1:1" x14ac:dyDescent="0.35">
      <c r="A103" s="2"/>
    </row>
    <row r="104" spans="1:1" x14ac:dyDescent="0.35">
      <c r="A104" s="2"/>
    </row>
    <row r="105" spans="1:1" x14ac:dyDescent="0.35">
      <c r="A105" s="2"/>
    </row>
    <row r="106" spans="1:1" x14ac:dyDescent="0.35">
      <c r="A106" s="2"/>
    </row>
    <row r="107" spans="1:1" x14ac:dyDescent="0.35">
      <c r="A107" s="2"/>
    </row>
    <row r="108" spans="1:1" x14ac:dyDescent="0.35">
      <c r="A108" s="2"/>
    </row>
    <row r="109" spans="1:1" x14ac:dyDescent="0.35">
      <c r="A109" s="2"/>
    </row>
    <row r="110" spans="1:1" x14ac:dyDescent="0.35">
      <c r="A110" s="2"/>
    </row>
    <row r="111" spans="1:1" x14ac:dyDescent="0.35">
      <c r="A111" s="2"/>
    </row>
    <row r="112" spans="1:1" x14ac:dyDescent="0.35">
      <c r="A112" s="2"/>
    </row>
    <row r="113" spans="1:1" x14ac:dyDescent="0.35">
      <c r="A113" s="2"/>
    </row>
    <row r="114" spans="1:1" x14ac:dyDescent="0.35">
      <c r="A114" s="2"/>
    </row>
    <row r="115" spans="1:1" x14ac:dyDescent="0.35">
      <c r="A115" s="2"/>
    </row>
    <row r="116" spans="1:1" x14ac:dyDescent="0.35">
      <c r="A116" s="2"/>
    </row>
    <row r="117" spans="1:1" x14ac:dyDescent="0.35">
      <c r="A117" s="2"/>
    </row>
    <row r="118" spans="1:1" x14ac:dyDescent="0.35">
      <c r="A118" s="2"/>
    </row>
    <row r="119" spans="1:1" x14ac:dyDescent="0.35">
      <c r="A119" s="2"/>
    </row>
    <row r="120" spans="1:1" x14ac:dyDescent="0.35">
      <c r="A120" s="2"/>
    </row>
    <row r="121" spans="1:1" x14ac:dyDescent="0.35">
      <c r="A121" s="2"/>
    </row>
    <row r="122" spans="1:1" x14ac:dyDescent="0.35">
      <c r="A122" s="2"/>
    </row>
    <row r="123" spans="1:1" x14ac:dyDescent="0.35">
      <c r="A123" s="2"/>
    </row>
    <row r="124" spans="1:1" x14ac:dyDescent="0.35">
      <c r="A124" s="2"/>
    </row>
    <row r="125" spans="1:1" x14ac:dyDescent="0.35">
      <c r="A125" s="2"/>
    </row>
    <row r="126" spans="1:1" x14ac:dyDescent="0.35">
      <c r="A126" s="2"/>
    </row>
    <row r="127" spans="1:1" x14ac:dyDescent="0.35">
      <c r="A127" s="2"/>
    </row>
    <row r="128" spans="1:1" x14ac:dyDescent="0.35">
      <c r="A128" s="2"/>
    </row>
    <row r="129" spans="1:1" x14ac:dyDescent="0.35">
      <c r="A129" s="2"/>
    </row>
    <row r="130" spans="1:1" x14ac:dyDescent="0.35">
      <c r="A130" s="2"/>
    </row>
    <row r="131" spans="1:1" x14ac:dyDescent="0.35">
      <c r="A131" s="2"/>
    </row>
    <row r="132" spans="1:1" x14ac:dyDescent="0.35">
      <c r="A132" s="2"/>
    </row>
    <row r="133" spans="1:1" x14ac:dyDescent="0.35">
      <c r="A133" s="2"/>
    </row>
    <row r="134" spans="1:1" x14ac:dyDescent="0.35">
      <c r="A134" s="2"/>
    </row>
    <row r="135" spans="1:1" x14ac:dyDescent="0.35">
      <c r="A135" s="2"/>
    </row>
    <row r="136" spans="1:1" x14ac:dyDescent="0.35">
      <c r="A136" s="2"/>
    </row>
    <row r="137" spans="1:1" x14ac:dyDescent="0.35">
      <c r="A137" s="2"/>
    </row>
    <row r="138" spans="1:1" x14ac:dyDescent="0.35">
      <c r="A138" s="2"/>
    </row>
    <row r="139" spans="1:1" x14ac:dyDescent="0.35">
      <c r="A139" s="2"/>
    </row>
    <row r="140" spans="1:1" x14ac:dyDescent="0.35">
      <c r="A140" s="2"/>
    </row>
    <row r="141" spans="1:1" x14ac:dyDescent="0.35">
      <c r="A141" s="2"/>
    </row>
    <row r="142" spans="1:1" x14ac:dyDescent="0.35">
      <c r="A142" s="2"/>
    </row>
    <row r="143" spans="1:1" x14ac:dyDescent="0.35">
      <c r="A143" s="2"/>
    </row>
    <row r="144" spans="1:1" x14ac:dyDescent="0.35">
      <c r="A144" s="2"/>
    </row>
    <row r="145" spans="1:1" x14ac:dyDescent="0.35">
      <c r="A145" s="2"/>
    </row>
    <row r="146" spans="1:1" x14ac:dyDescent="0.35">
      <c r="A146" s="2"/>
    </row>
    <row r="147" spans="1:1" x14ac:dyDescent="0.35">
      <c r="A147" s="2"/>
    </row>
    <row r="148" spans="1:1" x14ac:dyDescent="0.35">
      <c r="A148" s="2"/>
    </row>
    <row r="149" spans="1:1" x14ac:dyDescent="0.35">
      <c r="A149" s="2"/>
    </row>
    <row r="150" spans="1:1" x14ac:dyDescent="0.35">
      <c r="A150" s="2"/>
    </row>
    <row r="151" spans="1:1" x14ac:dyDescent="0.35">
      <c r="A151" s="2"/>
    </row>
    <row r="152" spans="1:1" x14ac:dyDescent="0.35">
      <c r="A152" s="2"/>
    </row>
    <row r="153" spans="1:1" x14ac:dyDescent="0.35">
      <c r="A153" s="2"/>
    </row>
    <row r="154" spans="1:1" x14ac:dyDescent="0.35">
      <c r="A154" s="2"/>
    </row>
    <row r="155" spans="1:1" x14ac:dyDescent="0.35">
      <c r="A155" s="2"/>
    </row>
    <row r="156" spans="1:1" x14ac:dyDescent="0.35">
      <c r="A15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Tabel Perhitungan</vt:lpstr>
      <vt:lpstr>Tabel Perhitungan (2)</vt:lpstr>
      <vt:lpstr>Tabulasi STATA 12</vt:lpstr>
      <vt:lpstr>Greenhouse Gas</vt:lpstr>
      <vt:lpstr>Hasil Akhir</vt:lpstr>
      <vt:lpstr>Hasil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bagus maruf</dc:creator>
  <cp:lastModifiedBy>bagus maruf</cp:lastModifiedBy>
  <dcterms:created xsi:type="dcterms:W3CDTF">2025-05-24T14:56:51Z</dcterms:created>
  <dcterms:modified xsi:type="dcterms:W3CDTF">2025-06-10T16:59:11Z</dcterms:modified>
</cp:coreProperties>
</file>